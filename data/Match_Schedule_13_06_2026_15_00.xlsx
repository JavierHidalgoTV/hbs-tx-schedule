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BMC Op 01\Downloads\"/>
    </mc:Choice>
  </mc:AlternateContent>
  <xr:revisionPtr revIDLastSave="0" documentId="13_ncr:1_{20221C0C-476C-46B6-9138-76FDB01DA9D4}" xr6:coauthVersionLast="47" xr6:coauthVersionMax="47" xr10:uidLastSave="{00000000-0000-0000-0000-000000000000}"/>
  <bookViews>
    <workbookView xWindow="30612" yWindow="-108" windowWidth="30936" windowHeight="16776" xr2:uid="{90628607-645C-D04B-887F-DEAFAADA5D19}"/>
  </bookViews>
  <sheets>
    <sheet name="Match Schedule" sheetId="42" r:id="rId1"/>
    <sheet name="General A" sheetId="1" state="hidden" r:id="rId2"/>
    <sheet name="General B" sheetId="30" state="hidden" r:id="rId3"/>
    <sheet name="General C" sheetId="31" state="hidden" r:id="rId4"/>
    <sheet name="General D" sheetId="29" state="hidden" r:id="rId5"/>
    <sheet name="Digital Content Live 1" sheetId="2" state="hidden" r:id="rId6"/>
    <sheet name="Digital Content Live 2" sheetId="32" state="hidden" r:id="rId7"/>
    <sheet name="Digital Content Live 3" sheetId="34" state="hidden" r:id="rId8"/>
    <sheet name="Digital Content Live 4" sheetId="33" state="hidden" r:id="rId9"/>
    <sheet name="Digital Content Live 5" sheetId="35" state="hidden" r:id="rId10"/>
    <sheet name="DCL Antipiracy A" sheetId="3" state="hidden" r:id="rId11"/>
    <sheet name="DCL Antipiracy B" sheetId="12" state="hidden" r:id="rId12"/>
    <sheet name="DCL Antipiracy C" sheetId="13" state="hidden" r:id="rId13"/>
    <sheet name="DCL Antipiracy D" sheetId="14" state="hidden" r:id="rId14"/>
    <sheet name="FCO A" sheetId="4" state="hidden" r:id="rId15"/>
    <sheet name="FCO B" sheetId="15" state="hidden" r:id="rId16"/>
    <sheet name="FCO C" sheetId="16" state="hidden" r:id="rId17"/>
    <sheet name="FCO D" sheetId="17" state="hidden" r:id="rId18"/>
    <sheet name="Radio International Sound A" sheetId="18" state="hidden" r:id="rId19"/>
    <sheet name="Radio International Sound B" sheetId="5" state="hidden" r:id="rId20"/>
    <sheet name="Radio International Sound C" sheetId="19" state="hidden" r:id="rId21"/>
    <sheet name="Radio International Sound D" sheetId="20" state="hidden" r:id="rId22"/>
    <sheet name="Automated Content Creation A" sheetId="6" state="hidden" r:id="rId23"/>
    <sheet name="Automated Content Creation B" sheetId="21" state="hidden" r:id="rId24"/>
    <sheet name="Automated Content Creation C" sheetId="22" state="hidden" r:id="rId25"/>
    <sheet name="Automated Content Creation D" sheetId="23" state="hidden" r:id="rId26"/>
    <sheet name="Datatainment A" sheetId="7" state="hidden" r:id="rId27"/>
    <sheet name="Datatainment B" sheetId="24" state="hidden" r:id="rId28"/>
    <sheet name="Datatainment C" sheetId="25" state="hidden" r:id="rId29"/>
    <sheet name="Datatainment D" sheetId="26" state="hidden" r:id="rId30"/>
    <sheet name="Closed Caption A" sheetId="87" state="hidden" r:id="rId31"/>
    <sheet name="Closed Caption B" sheetId="86" state="hidden" r:id="rId32"/>
    <sheet name="Closed Caption C" sheetId="85" state="hidden" r:id="rId33"/>
    <sheet name="Closed Caption D" sheetId="83" state="hidden" r:id="rId34"/>
    <sheet name="MatchBuddy A" sheetId="79" state="hidden" r:id="rId35"/>
    <sheet name="MatchBuddy B" sheetId="80" state="hidden" r:id="rId36"/>
    <sheet name="MatchBuddy C" sheetId="81" state="hidden" r:id="rId37"/>
    <sheet name="MatchBuddy D" sheetId="82" state="hidden" r:id="rId38"/>
    <sheet name="MD-1 A" sheetId="36" state="hidden" r:id="rId39"/>
    <sheet name="MD-1 B" sheetId="37" state="hidden" r:id="rId40"/>
    <sheet name="MD-1 C" sheetId="38" state="hidden" r:id="rId41"/>
    <sheet name="MD-1 D" sheetId="39" state="hidden" r:id="rId42"/>
    <sheet name="MD-1 E" sheetId="40" state="hidden" r:id="rId43"/>
    <sheet name="MD-1 F" sheetId="41" state="hidden" r:id="rId44"/>
  </sheets>
  <externalReferences>
    <externalReference r:id="rId45"/>
  </externalReferences>
  <definedNames>
    <definedName name="MD" localSheetId="22">[1]!MD_1_MA[#Data]</definedName>
    <definedName name="MD" localSheetId="23">[1]!MD_1_MA[#Data]</definedName>
    <definedName name="MD" localSheetId="24">[1]!MD_1_MA[#Data]</definedName>
    <definedName name="MD" localSheetId="25">[1]!MD_1_MA[#Data]</definedName>
    <definedName name="MD" localSheetId="30">[1]!MD_1_MA[#Data]</definedName>
    <definedName name="MD" localSheetId="31">[1]!MD_1_MA[#Data]</definedName>
    <definedName name="MD" localSheetId="32">[1]!MD_1_MA[#Data]</definedName>
    <definedName name="MD" localSheetId="33">[1]!MD_1_MA[#Data]</definedName>
    <definedName name="MD" localSheetId="26">[1]!MD_1_MA[#Data]</definedName>
    <definedName name="MD" localSheetId="27">[1]!MD_1_MA[#Data]</definedName>
    <definedName name="MD" localSheetId="28">[1]!MD_1_MA[#Data]</definedName>
    <definedName name="MD" localSheetId="29">[1]!MD_1_MA[#Data]</definedName>
    <definedName name="MD" localSheetId="10">[1]!MD_1_MA[#Data]</definedName>
    <definedName name="MD" localSheetId="11">[1]!MD_1_MA[#Data]</definedName>
    <definedName name="MD" localSheetId="12">[1]!MD_1_MA[#Data]</definedName>
    <definedName name="MD" localSheetId="13">[1]!MD_1_MA[#Data]</definedName>
    <definedName name="MD" localSheetId="5">[1]!MD_1_MA[#Data]</definedName>
    <definedName name="MD" localSheetId="6">[1]!MD_1_MA[#Data]</definedName>
    <definedName name="MD" localSheetId="7">[1]!MD_1_MA[#Data]</definedName>
    <definedName name="MD" localSheetId="8">[1]!MD_1_MA[#Data]</definedName>
    <definedName name="MD" localSheetId="9">[1]!MD_1_MA[#Data]</definedName>
    <definedName name="MD" localSheetId="14">[1]!MD_1_MA[#Data]</definedName>
    <definedName name="MD" localSheetId="15">[1]!MD_1_MA[#Data]</definedName>
    <definedName name="MD" localSheetId="16">[1]!MD_1_MA[#Data]</definedName>
    <definedName name="MD" localSheetId="17">[1]!MD_1_MA[#Data]</definedName>
    <definedName name="MD" localSheetId="1">[1]!MD_1_MA[#Data]</definedName>
    <definedName name="MD" localSheetId="2">[1]!MD_1_MA[#Data]</definedName>
    <definedName name="MD" localSheetId="3">[1]!MD_1_MA[#Data]</definedName>
    <definedName name="MD" localSheetId="4">[1]!MD_1_MA[#Data]</definedName>
    <definedName name="MD" localSheetId="34">[1]!MD_1_MA[#Data]</definedName>
    <definedName name="MD" localSheetId="35">[1]!MD_1_MA[#Data]</definedName>
    <definedName name="MD" localSheetId="36">[1]!MD_1_MA[#Data]</definedName>
    <definedName name="MD" localSheetId="37">[1]!MD_1_MA[#Data]</definedName>
    <definedName name="MD" localSheetId="38">[1]!MD_1_MA[#Data]</definedName>
    <definedName name="MD" localSheetId="39">[1]!MD_1_MA[#Data]</definedName>
    <definedName name="MD" localSheetId="40">[1]!MD_1_MA[#Data]</definedName>
    <definedName name="MD" localSheetId="41">[1]!MD_1_MA[#Data]</definedName>
    <definedName name="MD" localSheetId="42">[1]!MD_1_MA[#Data]</definedName>
    <definedName name="MD" localSheetId="43">[1]!MD_1_MA[#Data]</definedName>
    <definedName name="MD" localSheetId="18">[1]!MD_1_MA[#Data]</definedName>
    <definedName name="MD" localSheetId="20">[1]!MD_1_MA[#Data]</definedName>
    <definedName name="MD" localSheetId="21">[1]!MD_1_MA[#Data]</definedName>
    <definedName name="MD">[1]!MD_1_MA[#Data]</definedName>
    <definedName name="MD_1_A" localSheetId="22">[1]!MD_1_MA[#Data]</definedName>
    <definedName name="MD_1_A" localSheetId="23">[1]!MD_1_MA[#Data]</definedName>
    <definedName name="MD_1_A" localSheetId="24">[1]!MD_1_MA[#Data]</definedName>
    <definedName name="MD_1_A" localSheetId="25">[1]!MD_1_MA[#Data]</definedName>
    <definedName name="MD_1_A" localSheetId="30">[1]!MD_1_MA[#Data]</definedName>
    <definedName name="MD_1_A" localSheetId="31">[1]!MD_1_MA[#Data]</definedName>
    <definedName name="MD_1_A" localSheetId="32">[1]!MD_1_MA[#Data]</definedName>
    <definedName name="MD_1_A" localSheetId="33">[1]!MD_1_MA[#Data]</definedName>
    <definedName name="MD_1_A" localSheetId="26">[1]!MD_1_MA[#Data]</definedName>
    <definedName name="MD_1_A" localSheetId="27">[1]!MD_1_MA[#Data]</definedName>
    <definedName name="MD_1_A" localSheetId="28">[1]!MD_1_MA[#Data]</definedName>
    <definedName name="MD_1_A" localSheetId="29">[1]!MD_1_MA[#Data]</definedName>
    <definedName name="MD_1_A" localSheetId="10">[1]!MD_1_MA[#Data]</definedName>
    <definedName name="MD_1_A" localSheetId="11">[1]!MD_1_MA[#Data]</definedName>
    <definedName name="MD_1_A" localSheetId="12">[1]!MD_1_MA[#Data]</definedName>
    <definedName name="MD_1_A" localSheetId="13">[1]!MD_1_MA[#Data]</definedName>
    <definedName name="MD_1_A" localSheetId="5">[1]!MD_1_MA[#Data]</definedName>
    <definedName name="MD_1_A" localSheetId="6">[1]!MD_1_MA[#Data]</definedName>
    <definedName name="MD_1_A" localSheetId="7">[1]!MD_1_MA[#Data]</definedName>
    <definedName name="MD_1_A" localSheetId="8">[1]!MD_1_MA[#Data]</definedName>
    <definedName name="MD_1_A" localSheetId="9">[1]!MD_1_MA[#Data]</definedName>
    <definedName name="MD_1_A" localSheetId="14">[1]!MD_1_MA[#Data]</definedName>
    <definedName name="MD_1_A" localSheetId="15">[1]!MD_1_MA[#Data]</definedName>
    <definedName name="MD_1_A" localSheetId="16">[1]!MD_1_MA[#Data]</definedName>
    <definedName name="MD_1_A" localSheetId="17">[1]!MD_1_MA[#Data]</definedName>
    <definedName name="MD_1_A" localSheetId="1">[1]!MD_1_MA[#Data]</definedName>
    <definedName name="MD_1_A" localSheetId="2">[1]!MD_1_MA[#Data]</definedName>
    <definedName name="MD_1_A" localSheetId="3">[1]!MD_1_MA[#Data]</definedName>
    <definedName name="MD_1_A" localSheetId="4">[1]!MD_1_MA[#Data]</definedName>
    <definedName name="MD_1_A" localSheetId="34">[1]!MD_1_MA[#Data]</definedName>
    <definedName name="MD_1_A" localSheetId="35">[1]!MD_1_MA[#Data]</definedName>
    <definedName name="MD_1_A" localSheetId="36">[1]!MD_1_MA[#Data]</definedName>
    <definedName name="MD_1_A" localSheetId="37">[1]!MD_1_MA[#Data]</definedName>
    <definedName name="MD_1_A" localSheetId="38">[1]!MD_1_MA[#Data]</definedName>
    <definedName name="MD_1_A" localSheetId="39">[1]!MD_1_MA[#Data]</definedName>
    <definedName name="MD_1_A" localSheetId="40">[1]!MD_1_MA[#Data]</definedName>
    <definedName name="MD_1_A" localSheetId="41">[1]!MD_1_MA[#Data]</definedName>
    <definedName name="MD_1_A" localSheetId="42">[1]!MD_1_MA[#Data]</definedName>
    <definedName name="MD_1_A" localSheetId="43">[1]!MD_1_MA[#Data]</definedName>
    <definedName name="MD_1_A" localSheetId="18">[1]!MD_1_MA[#Data]</definedName>
    <definedName name="MD_1_A" localSheetId="20">[1]!MD_1_MA[#Data]</definedName>
    <definedName name="MD_1_A" localSheetId="21">[1]!MD_1_MA[#Data]</definedName>
    <definedName name="MD_1_A">[1]!MD_1_MA[#Data]</definedName>
    <definedName name="MD_1_B" localSheetId="22">[1]!MD_1_MA[#Data]</definedName>
    <definedName name="MD_1_B" localSheetId="23">[1]!MD_1_MA[#Data]</definedName>
    <definedName name="MD_1_B" localSheetId="24">[1]!MD_1_MA[#Data]</definedName>
    <definedName name="MD_1_B" localSheetId="25">[1]!MD_1_MA[#Data]</definedName>
    <definedName name="MD_1_B" localSheetId="30">[1]!MD_1_MA[#Data]</definedName>
    <definedName name="MD_1_B" localSheetId="31">[1]!MD_1_MA[#Data]</definedName>
    <definedName name="MD_1_B" localSheetId="32">[1]!MD_1_MA[#Data]</definedName>
    <definedName name="MD_1_B" localSheetId="33">[1]!MD_1_MA[#Data]</definedName>
    <definedName name="MD_1_B" localSheetId="26">[1]!MD_1_MA[#Data]</definedName>
    <definedName name="MD_1_B" localSheetId="27">[1]!MD_1_MA[#Data]</definedName>
    <definedName name="MD_1_B" localSheetId="28">[1]!MD_1_MA[#Data]</definedName>
    <definedName name="MD_1_B" localSheetId="29">[1]!MD_1_MA[#Data]</definedName>
    <definedName name="MD_1_B" localSheetId="10">[1]!MD_1_MA[#Data]</definedName>
    <definedName name="MD_1_B" localSheetId="11">[1]!MD_1_MA[#Data]</definedName>
    <definedName name="MD_1_B" localSheetId="12">[1]!MD_1_MA[#Data]</definedName>
    <definedName name="MD_1_B" localSheetId="13">[1]!MD_1_MA[#Data]</definedName>
    <definedName name="MD_1_B" localSheetId="5">[1]!MD_1_MA[#Data]</definedName>
    <definedName name="MD_1_B" localSheetId="6">[1]!MD_1_MA[#Data]</definedName>
    <definedName name="MD_1_B" localSheetId="7">[1]!MD_1_MA[#Data]</definedName>
    <definedName name="MD_1_B" localSheetId="8">[1]!MD_1_MA[#Data]</definedName>
    <definedName name="MD_1_B" localSheetId="9">[1]!MD_1_MA[#Data]</definedName>
    <definedName name="MD_1_B" localSheetId="14">[1]!MD_1_MA[#Data]</definedName>
    <definedName name="MD_1_B" localSheetId="15">[1]!MD_1_MA[#Data]</definedName>
    <definedName name="MD_1_B" localSheetId="16">[1]!MD_1_MA[#Data]</definedName>
    <definedName name="MD_1_B" localSheetId="17">[1]!MD_1_MA[#Data]</definedName>
    <definedName name="MD_1_B" localSheetId="1">[1]!MD_1_MA[#Data]</definedName>
    <definedName name="MD_1_B" localSheetId="2">[1]!MD_1_MA[#Data]</definedName>
    <definedName name="MD_1_B" localSheetId="3">[1]!MD_1_MA[#Data]</definedName>
    <definedName name="MD_1_B" localSheetId="4">[1]!MD_1_MA[#Data]</definedName>
    <definedName name="MD_1_B" localSheetId="34">[1]!MD_1_MA[#Data]</definedName>
    <definedName name="MD_1_B" localSheetId="35">[1]!MD_1_MA[#Data]</definedName>
    <definedName name="MD_1_B" localSheetId="36">[1]!MD_1_MA[#Data]</definedName>
    <definedName name="MD_1_B" localSheetId="37">[1]!MD_1_MA[#Data]</definedName>
    <definedName name="MD_1_B" localSheetId="38">[1]!MD_1_MA[#Data]</definedName>
    <definedName name="MD_1_B" localSheetId="39">[1]!MD_1_MA[#Data]</definedName>
    <definedName name="MD_1_B" localSheetId="40">[1]!MD_1_MA[#Data]</definedName>
    <definedName name="MD_1_B" localSheetId="41">[1]!MD_1_MA[#Data]</definedName>
    <definedName name="MD_1_B" localSheetId="42">[1]!MD_1_MA[#Data]</definedName>
    <definedName name="MD_1_B" localSheetId="43">[1]!MD_1_MA[#Data]</definedName>
    <definedName name="MD_1_B" localSheetId="18">[1]!MD_1_MA[#Data]</definedName>
    <definedName name="MD_1_B" localSheetId="20">[1]!MD_1_MA[#Data]</definedName>
    <definedName name="MD_1_B" localSheetId="21">[1]!MD_1_MA[#Data]</definedName>
    <definedName name="MD_1_B">[1]!MD_1_MA[#Data]</definedName>
    <definedName name="MD_1_D" localSheetId="22">[1]!MD_1_MA[#Data]</definedName>
    <definedName name="MD_1_D" localSheetId="23">[1]!MD_1_MA[#Data]</definedName>
    <definedName name="MD_1_D" localSheetId="24">[1]!MD_1_MA[#Data]</definedName>
    <definedName name="MD_1_D" localSheetId="25">[1]!MD_1_MA[#Data]</definedName>
    <definedName name="MD_1_D" localSheetId="30">[1]!MD_1_MA[#Data]</definedName>
    <definedName name="MD_1_D" localSheetId="31">[1]!MD_1_MA[#Data]</definedName>
    <definedName name="MD_1_D" localSheetId="32">[1]!MD_1_MA[#Data]</definedName>
    <definedName name="MD_1_D" localSheetId="33">[1]!MD_1_MA[#Data]</definedName>
    <definedName name="MD_1_D" localSheetId="26">[1]!MD_1_MA[#Data]</definedName>
    <definedName name="MD_1_D" localSheetId="27">[1]!MD_1_MA[#Data]</definedName>
    <definedName name="MD_1_D" localSheetId="28">[1]!MD_1_MA[#Data]</definedName>
    <definedName name="MD_1_D" localSheetId="29">[1]!MD_1_MA[#Data]</definedName>
    <definedName name="MD_1_D" localSheetId="10">[1]!MD_1_MA[#Data]</definedName>
    <definedName name="MD_1_D" localSheetId="11">[1]!MD_1_MA[#Data]</definedName>
    <definedName name="MD_1_D" localSheetId="12">[1]!MD_1_MA[#Data]</definedName>
    <definedName name="MD_1_D" localSheetId="13">[1]!MD_1_MA[#Data]</definedName>
    <definedName name="MD_1_D" localSheetId="5">[1]!MD_1_MA[#Data]</definedName>
    <definedName name="MD_1_D" localSheetId="6">[1]!MD_1_MA[#Data]</definedName>
    <definedName name="MD_1_D" localSheetId="7">[1]!MD_1_MA[#Data]</definedName>
    <definedName name="MD_1_D" localSheetId="8">[1]!MD_1_MA[#Data]</definedName>
    <definedName name="MD_1_D" localSheetId="9">[1]!MD_1_MA[#Data]</definedName>
    <definedName name="MD_1_D" localSheetId="14">[1]!MD_1_MA[#Data]</definedName>
    <definedName name="MD_1_D" localSheetId="15">[1]!MD_1_MA[#Data]</definedName>
    <definedName name="MD_1_D" localSheetId="16">[1]!MD_1_MA[#Data]</definedName>
    <definedName name="MD_1_D" localSheetId="17">[1]!MD_1_MA[#Data]</definedName>
    <definedName name="MD_1_D" localSheetId="1">[1]!MD_1_MA[#Data]</definedName>
    <definedName name="MD_1_D" localSheetId="2">[1]!MD_1_MA[#Data]</definedName>
    <definedName name="MD_1_D" localSheetId="3">[1]!MD_1_MA[#Data]</definedName>
    <definedName name="MD_1_D" localSheetId="4">[1]!MD_1_MA[#Data]</definedName>
    <definedName name="MD_1_D" localSheetId="34">[1]!MD_1_MA[#Data]</definedName>
    <definedName name="MD_1_D" localSheetId="35">[1]!MD_1_MA[#Data]</definedName>
    <definedName name="MD_1_D" localSheetId="36">[1]!MD_1_MA[#Data]</definedName>
    <definedName name="MD_1_D" localSheetId="37">[1]!MD_1_MA[#Data]</definedName>
    <definedName name="MD_1_D" localSheetId="38">[1]!MD_1_MA[#Data]</definedName>
    <definedName name="MD_1_D" localSheetId="39">[1]!MD_1_MA[#Data]</definedName>
    <definedName name="MD_1_D" localSheetId="40">[1]!MD_1_MA[#Data]</definedName>
    <definedName name="MD_1_D" localSheetId="41">[1]!MD_1_MA[#Data]</definedName>
    <definedName name="MD_1_D" localSheetId="42">[1]!MD_1_MA[#Data]</definedName>
    <definedName name="MD_1_D" localSheetId="43">[1]!MD_1_MA[#Data]</definedName>
    <definedName name="MD_1_D" localSheetId="18">[1]!MD_1_MA[#Data]</definedName>
    <definedName name="MD_1_D" localSheetId="20">[1]!MD_1_MA[#Data]</definedName>
    <definedName name="MD_1_D" localSheetId="21">[1]!MD_1_MA[#Data]</definedName>
    <definedName name="MD_1_D">[1]!MD_1_MA[#Data]</definedName>
    <definedName name="MD_1_SML" localSheetId="22">[1]!MD_1_MA[#Data]</definedName>
    <definedName name="MD_1_SML" localSheetId="23">[1]!MD_1_MA[#Data]</definedName>
    <definedName name="MD_1_SML" localSheetId="24">[1]!MD_1_MA[#Data]</definedName>
    <definedName name="MD_1_SML" localSheetId="25">[1]!MD_1_MA[#Data]</definedName>
    <definedName name="MD_1_SML" localSheetId="30">[1]!MD_1_MA[#Data]</definedName>
    <definedName name="MD_1_SML" localSheetId="31">[1]!MD_1_MA[#Data]</definedName>
    <definedName name="MD_1_SML" localSheetId="32">[1]!MD_1_MA[#Data]</definedName>
    <definedName name="MD_1_SML" localSheetId="33">[1]!MD_1_MA[#Data]</definedName>
    <definedName name="MD_1_SML" localSheetId="26">[1]!MD_1_MA[#Data]</definedName>
    <definedName name="MD_1_SML" localSheetId="27">[1]!MD_1_MA[#Data]</definedName>
    <definedName name="MD_1_SML" localSheetId="28">[1]!MD_1_MA[#Data]</definedName>
    <definedName name="MD_1_SML" localSheetId="29">[1]!MD_1_MA[#Data]</definedName>
    <definedName name="MD_1_SML" localSheetId="10">[1]!MD_1_MA[#Data]</definedName>
    <definedName name="MD_1_SML" localSheetId="11">[1]!MD_1_MA[#Data]</definedName>
    <definedName name="MD_1_SML" localSheetId="12">[1]!MD_1_MA[#Data]</definedName>
    <definedName name="MD_1_SML" localSheetId="13">[1]!MD_1_MA[#Data]</definedName>
    <definedName name="MD_1_SML" localSheetId="5">[1]!MD_1_MA[#Data]</definedName>
    <definedName name="MD_1_SML" localSheetId="6">[1]!MD_1_MA[#Data]</definedName>
    <definedName name="MD_1_SML" localSheetId="7">[1]!MD_1_MA[#Data]</definedName>
    <definedName name="MD_1_SML" localSheetId="8">[1]!MD_1_MA[#Data]</definedName>
    <definedName name="MD_1_SML" localSheetId="9">[1]!MD_1_MA[#Data]</definedName>
    <definedName name="MD_1_SML" localSheetId="14">[1]!MD_1_MA[#Data]</definedName>
    <definedName name="MD_1_SML" localSheetId="15">[1]!MD_1_MA[#Data]</definedName>
    <definedName name="MD_1_SML" localSheetId="16">[1]!MD_1_MA[#Data]</definedName>
    <definedName name="MD_1_SML" localSheetId="17">[1]!MD_1_MA[#Data]</definedName>
    <definedName name="MD_1_SML" localSheetId="1">[1]!MD_1_MA[#Data]</definedName>
    <definedName name="MD_1_SML" localSheetId="2">[1]!MD_1_MA[#Data]</definedName>
    <definedName name="MD_1_SML" localSheetId="3">[1]!MD_1_MA[#Data]</definedName>
    <definedName name="MD_1_SML" localSheetId="4">[1]!MD_1_MA[#Data]</definedName>
    <definedName name="MD_1_SML" localSheetId="34">[1]!MD_1_MA[#Data]</definedName>
    <definedName name="MD_1_SML" localSheetId="35">[1]!MD_1_MA[#Data]</definedName>
    <definedName name="MD_1_SML" localSheetId="36">[1]!MD_1_MA[#Data]</definedName>
    <definedName name="MD_1_SML" localSheetId="37">[1]!MD_1_MA[#Data]</definedName>
    <definedName name="MD_1_SML" localSheetId="38">[1]!MD_1_MA[#Data]</definedName>
    <definedName name="MD_1_SML" localSheetId="39">[1]!MD_1_MA[#Data]</definedName>
    <definedName name="MD_1_SML" localSheetId="40">[1]!MD_1_MA[#Data]</definedName>
    <definedName name="MD_1_SML" localSheetId="41">[1]!MD_1_MA[#Data]</definedName>
    <definedName name="MD_1_SML" localSheetId="42">[1]!MD_1_MA[#Data]</definedName>
    <definedName name="MD_1_SML" localSheetId="43">[1]!MD_1_MA[#Data]</definedName>
    <definedName name="MD_1_SML" localSheetId="18">[1]!MD_1_MA[#Data]</definedName>
    <definedName name="MD_1_SML" localSheetId="20">[1]!MD_1_MA[#Data]</definedName>
    <definedName name="MD_1_SML" localSheetId="21">[1]!MD_1_MA[#Data]</definedName>
    <definedName name="MD_1_SML">[1]!MD_1_MA[#Data]</definedName>
    <definedName name="MD_New" localSheetId="22">[1]!MD_1_MA[#Data]</definedName>
    <definedName name="MD_New" localSheetId="23">[1]!MD_1_MA[#Data]</definedName>
    <definedName name="MD_New" localSheetId="24">[1]!MD_1_MA[#Data]</definedName>
    <definedName name="MD_New" localSheetId="25">[1]!MD_1_MA[#Data]</definedName>
    <definedName name="MD_New" localSheetId="30">[1]!MD_1_MA[#Data]</definedName>
    <definedName name="MD_New" localSheetId="31">[1]!MD_1_MA[#Data]</definedName>
    <definedName name="MD_New" localSheetId="32">[1]!MD_1_MA[#Data]</definedName>
    <definedName name="MD_New" localSheetId="33">[1]!MD_1_MA[#Data]</definedName>
    <definedName name="MD_New" localSheetId="26">[1]!MD_1_MA[#Data]</definedName>
    <definedName name="MD_New" localSheetId="27">[1]!MD_1_MA[#Data]</definedName>
    <definedName name="MD_New" localSheetId="28">[1]!MD_1_MA[#Data]</definedName>
    <definedName name="MD_New" localSheetId="29">[1]!MD_1_MA[#Data]</definedName>
    <definedName name="MD_New" localSheetId="10">[1]!MD_1_MA[#Data]</definedName>
    <definedName name="MD_New" localSheetId="11">[1]!MD_1_MA[#Data]</definedName>
    <definedName name="MD_New" localSheetId="12">[1]!MD_1_MA[#Data]</definedName>
    <definedName name="MD_New" localSheetId="13">[1]!MD_1_MA[#Data]</definedName>
    <definedName name="MD_New" localSheetId="5">[1]!MD_1_MA[#Data]</definedName>
    <definedName name="MD_New" localSheetId="6">[1]!MD_1_MA[#Data]</definedName>
    <definedName name="MD_New" localSheetId="7">[1]!MD_1_MA[#Data]</definedName>
    <definedName name="MD_New" localSheetId="8">[1]!MD_1_MA[#Data]</definedName>
    <definedName name="MD_New" localSheetId="9">[1]!MD_1_MA[#Data]</definedName>
    <definedName name="MD_New" localSheetId="14">[1]!MD_1_MA[#Data]</definedName>
    <definedName name="MD_New" localSheetId="15">[1]!MD_1_MA[#Data]</definedName>
    <definedName name="MD_New" localSheetId="16">[1]!MD_1_MA[#Data]</definedName>
    <definedName name="MD_New" localSheetId="17">[1]!MD_1_MA[#Data]</definedName>
    <definedName name="MD_New" localSheetId="1">[1]!MD_1_MA[#Data]</definedName>
    <definedName name="MD_New" localSheetId="2">[1]!MD_1_MA[#Data]</definedName>
    <definedName name="MD_New" localSheetId="3">[1]!MD_1_MA[#Data]</definedName>
    <definedName name="MD_New" localSheetId="4">[1]!MD_1_MA[#Data]</definedName>
    <definedName name="MD_New" localSheetId="34">[1]!MD_1_MA[#Data]</definedName>
    <definedName name="MD_New" localSheetId="35">[1]!MD_1_MA[#Data]</definedName>
    <definedName name="MD_New" localSheetId="36">[1]!MD_1_MA[#Data]</definedName>
    <definedName name="MD_New" localSheetId="37">[1]!MD_1_MA[#Data]</definedName>
    <definedName name="MD_New" localSheetId="38">[1]!MD_1_MA[#Data]</definedName>
    <definedName name="MD_New" localSheetId="39">[1]!MD_1_MA[#Data]</definedName>
    <definedName name="MD_New" localSheetId="40">[1]!MD_1_MA[#Data]</definedName>
    <definedName name="MD_New" localSheetId="41">[1]!MD_1_MA[#Data]</definedName>
    <definedName name="MD_New" localSheetId="42">[1]!MD_1_MA[#Data]</definedName>
    <definedName name="MD_New" localSheetId="43">[1]!MD_1_MA[#Data]</definedName>
    <definedName name="MD_New" localSheetId="18">[1]!MD_1_MA[#Data]</definedName>
    <definedName name="MD_New" localSheetId="20">[1]!MD_1_MA[#Data]</definedName>
    <definedName name="MD_New" localSheetId="21">[1]!MD_1_MA[#Data]</definedName>
    <definedName name="MD_New">[1]!MD_1_MA[#Data]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2" l="1"/>
  <c r="E7" i="12" a="1"/>
  <c r="D7" i="12"/>
  <c r="F7" i="13"/>
  <c r="E7" i="13" a="1"/>
  <c r="D7" i="13"/>
  <c r="F7" i="14"/>
  <c r="E7" i="14" a="1"/>
  <c r="D7" i="14"/>
  <c r="F7" i="3"/>
  <c r="E7" i="3" a="1"/>
  <c r="D7" i="3"/>
  <c r="D2" i="38"/>
  <c r="D2" i="39"/>
  <c r="D2" i="40"/>
  <c r="D2" i="41"/>
  <c r="F2" i="41"/>
  <c r="E2" i="41" s="1" a="1"/>
  <c r="F2" i="40"/>
  <c r="E2" i="40" s="1" a="1"/>
  <c r="F2" i="39"/>
  <c r="E2" i="39" s="1" a="1"/>
  <c r="F2" i="38"/>
  <c r="E2" i="38" s="1" a="1"/>
  <c r="F2" i="37"/>
  <c r="D2" i="37"/>
  <c r="D2" i="36"/>
  <c r="F2" i="36"/>
  <c r="C8" i="35"/>
  <c r="F8" i="35"/>
  <c r="C9" i="35"/>
  <c r="F9" i="35"/>
  <c r="C10" i="35"/>
  <c r="F10" i="35"/>
  <c r="C11" i="35"/>
  <c r="F11" i="35"/>
  <c r="C12" i="35"/>
  <c r="F12" i="35"/>
  <c r="C14" i="35"/>
  <c r="F14" i="35"/>
  <c r="C2" i="2"/>
  <c r="C3" i="2"/>
  <c r="C4" i="2"/>
  <c r="C5" i="2"/>
  <c r="C6" i="2"/>
  <c r="C7" i="2"/>
  <c r="C8" i="2"/>
  <c r="C9" i="2"/>
  <c r="C10" i="2"/>
  <c r="C11" i="2"/>
  <c r="C12" i="2"/>
  <c r="C3" i="32"/>
  <c r="C4" i="32"/>
  <c r="C5" i="32"/>
  <c r="C6" i="32"/>
  <c r="C7" i="32"/>
  <c r="C8" i="32"/>
  <c r="C9" i="32"/>
  <c r="C10" i="32"/>
  <c r="C11" i="32"/>
  <c r="C12" i="32"/>
  <c r="C2" i="32"/>
  <c r="C3" i="34"/>
  <c r="C4" i="34"/>
  <c r="C5" i="34"/>
  <c r="C6" i="34"/>
  <c r="C7" i="34"/>
  <c r="C8" i="34"/>
  <c r="C9" i="34"/>
  <c r="C10" i="34"/>
  <c r="C11" i="34"/>
  <c r="C12" i="34"/>
  <c r="C13" i="34"/>
  <c r="C2" i="34"/>
  <c r="C3" i="33"/>
  <c r="C4" i="33"/>
  <c r="C5" i="33"/>
  <c r="C6" i="33"/>
  <c r="C7" i="33"/>
  <c r="C8" i="33"/>
  <c r="C9" i="33"/>
  <c r="C10" i="33"/>
  <c r="C11" i="33"/>
  <c r="C12" i="33"/>
  <c r="C13" i="33"/>
  <c r="C2" i="33"/>
  <c r="C3" i="35"/>
  <c r="C4" i="35"/>
  <c r="C5" i="35"/>
  <c r="C6" i="35"/>
  <c r="C7" i="35"/>
  <c r="C13" i="35"/>
  <c r="C15" i="35"/>
  <c r="C16" i="35"/>
  <c r="C17" i="35"/>
  <c r="C18" i="35"/>
  <c r="C19" i="35"/>
  <c r="C2" i="35"/>
  <c r="F11" i="32"/>
  <c r="F9" i="32"/>
  <c r="F4" i="1"/>
  <c r="F40" i="82"/>
  <c r="F40" i="81"/>
  <c r="F40" i="80"/>
  <c r="F40" i="79"/>
  <c r="F6" i="29"/>
  <c r="F6" i="31"/>
  <c r="F6" i="30"/>
  <c r="F6" i="1"/>
  <c r="E2" i="37" a="1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F3" i="87"/>
  <c r="F2" i="87"/>
  <c r="F19" i="86"/>
  <c r="F18" i="86"/>
  <c r="F17" i="86"/>
  <c r="F16" i="86"/>
  <c r="F15" i="86"/>
  <c r="F14" i="86"/>
  <c r="F13" i="86"/>
  <c r="F12" i="86"/>
  <c r="F11" i="86"/>
  <c r="F10" i="86"/>
  <c r="F9" i="86"/>
  <c r="F8" i="86"/>
  <c r="F7" i="86"/>
  <c r="F6" i="86"/>
  <c r="F5" i="86"/>
  <c r="F4" i="86"/>
  <c r="F3" i="86"/>
  <c r="F2" i="86"/>
  <c r="F19" i="85"/>
  <c r="F18" i="85"/>
  <c r="F17" i="85"/>
  <c r="F16" i="85"/>
  <c r="F15" i="85"/>
  <c r="F14" i="85"/>
  <c r="F13" i="85"/>
  <c r="F12" i="85"/>
  <c r="F11" i="85"/>
  <c r="F10" i="85"/>
  <c r="F9" i="85"/>
  <c r="F8" i="85"/>
  <c r="F7" i="85"/>
  <c r="F6" i="85"/>
  <c r="F5" i="85"/>
  <c r="F4" i="85"/>
  <c r="F3" i="85"/>
  <c r="F2" i="85"/>
  <c r="F19" i="83"/>
  <c r="F15" i="83"/>
  <c r="F16" i="83"/>
  <c r="F17" i="83"/>
  <c r="F13" i="83"/>
  <c r="F10" i="83"/>
  <c r="F5" i="83"/>
  <c r="F6" i="83"/>
  <c r="F7" i="83"/>
  <c r="F18" i="83"/>
  <c r="F14" i="83"/>
  <c r="F12" i="83"/>
  <c r="F11" i="83"/>
  <c r="F9" i="83"/>
  <c r="F8" i="83"/>
  <c r="F4" i="83"/>
  <c r="F3" i="83"/>
  <c r="F2" i="83"/>
  <c r="F56" i="82"/>
  <c r="F55" i="82"/>
  <c r="F54" i="82"/>
  <c r="F53" i="82"/>
  <c r="F52" i="82"/>
  <c r="F51" i="82"/>
  <c r="F50" i="82"/>
  <c r="F49" i="82"/>
  <c r="F48" i="82"/>
  <c r="F47" i="82"/>
  <c r="F46" i="82"/>
  <c r="F45" i="82"/>
  <c r="F44" i="82"/>
  <c r="F43" i="82"/>
  <c r="F42" i="82"/>
  <c r="F41" i="82"/>
  <c r="F39" i="82"/>
  <c r="F38" i="82"/>
  <c r="F37" i="82"/>
  <c r="F36" i="82"/>
  <c r="F35" i="82"/>
  <c r="F34" i="82"/>
  <c r="F33" i="82"/>
  <c r="F32" i="82"/>
  <c r="F31" i="82"/>
  <c r="F30" i="82"/>
  <c r="F29" i="82"/>
  <c r="F28" i="82"/>
  <c r="F27" i="82"/>
  <c r="F26" i="82"/>
  <c r="F18" i="82"/>
  <c r="F17" i="82"/>
  <c r="F16" i="82"/>
  <c r="F15" i="82"/>
  <c r="F14" i="82"/>
  <c r="F13" i="82"/>
  <c r="F12" i="82"/>
  <c r="F11" i="82"/>
  <c r="F10" i="82"/>
  <c r="F9" i="82"/>
  <c r="F8" i="82"/>
  <c r="F7" i="82"/>
  <c r="F6" i="82"/>
  <c r="F5" i="82"/>
  <c r="F25" i="82"/>
  <c r="F24" i="82"/>
  <c r="F23" i="82"/>
  <c r="F22" i="82"/>
  <c r="F21" i="82"/>
  <c r="F20" i="82"/>
  <c r="F19" i="82"/>
  <c r="F4" i="82"/>
  <c r="F3" i="82"/>
  <c r="F2" i="82"/>
  <c r="F56" i="81"/>
  <c r="F55" i="81"/>
  <c r="F54" i="81"/>
  <c r="F53" i="81"/>
  <c r="F52" i="81"/>
  <c r="F51" i="81"/>
  <c r="F50" i="81"/>
  <c r="F49" i="81"/>
  <c r="F48" i="81"/>
  <c r="F47" i="81"/>
  <c r="F46" i="81"/>
  <c r="F45" i="81"/>
  <c r="F44" i="81"/>
  <c r="F43" i="81"/>
  <c r="F42" i="81"/>
  <c r="F41" i="81"/>
  <c r="F39" i="81"/>
  <c r="F38" i="81"/>
  <c r="F37" i="81"/>
  <c r="F36" i="81"/>
  <c r="F35" i="81"/>
  <c r="F34" i="81"/>
  <c r="F33" i="81"/>
  <c r="F32" i="81"/>
  <c r="F31" i="81"/>
  <c r="F30" i="81"/>
  <c r="F29" i="81"/>
  <c r="F28" i="81"/>
  <c r="F27" i="81"/>
  <c r="F26" i="81"/>
  <c r="F18" i="81"/>
  <c r="F17" i="81"/>
  <c r="F16" i="81"/>
  <c r="F15" i="81"/>
  <c r="F14" i="81"/>
  <c r="F13" i="81"/>
  <c r="F12" i="81"/>
  <c r="F11" i="81"/>
  <c r="F10" i="81"/>
  <c r="F9" i="81"/>
  <c r="F8" i="81"/>
  <c r="F7" i="81"/>
  <c r="F6" i="81"/>
  <c r="F5" i="81"/>
  <c r="F25" i="81"/>
  <c r="F24" i="81"/>
  <c r="F23" i="81"/>
  <c r="F22" i="81"/>
  <c r="F21" i="81"/>
  <c r="F20" i="81"/>
  <c r="F19" i="81"/>
  <c r="F4" i="81"/>
  <c r="F3" i="81"/>
  <c r="F2" i="81"/>
  <c r="F56" i="80"/>
  <c r="F55" i="80"/>
  <c r="F54" i="80"/>
  <c r="F53" i="80"/>
  <c r="F52" i="80"/>
  <c r="F51" i="80"/>
  <c r="F50" i="80"/>
  <c r="F49" i="80"/>
  <c r="F48" i="80"/>
  <c r="F47" i="80"/>
  <c r="F46" i="80"/>
  <c r="F45" i="80"/>
  <c r="F44" i="80"/>
  <c r="F43" i="80"/>
  <c r="F42" i="80"/>
  <c r="F41" i="80"/>
  <c r="F39" i="80"/>
  <c r="F38" i="80"/>
  <c r="F37" i="80"/>
  <c r="F36" i="80"/>
  <c r="F35" i="80"/>
  <c r="F34" i="80"/>
  <c r="F33" i="80"/>
  <c r="F32" i="80"/>
  <c r="F31" i="80"/>
  <c r="F30" i="80"/>
  <c r="F29" i="80"/>
  <c r="F28" i="80"/>
  <c r="F27" i="80"/>
  <c r="F26" i="80"/>
  <c r="F18" i="80"/>
  <c r="F17" i="80"/>
  <c r="F16" i="80"/>
  <c r="F15" i="80"/>
  <c r="F14" i="80"/>
  <c r="F13" i="80"/>
  <c r="F12" i="80"/>
  <c r="F11" i="80"/>
  <c r="F10" i="80"/>
  <c r="F9" i="80"/>
  <c r="F8" i="80"/>
  <c r="F7" i="80"/>
  <c r="F6" i="80"/>
  <c r="F5" i="80"/>
  <c r="F25" i="80"/>
  <c r="F24" i="80"/>
  <c r="F23" i="80"/>
  <c r="F22" i="80"/>
  <c r="F21" i="80"/>
  <c r="F20" i="80"/>
  <c r="F19" i="80"/>
  <c r="F4" i="80"/>
  <c r="F3" i="80"/>
  <c r="F2" i="80"/>
  <c r="F56" i="79"/>
  <c r="F55" i="79"/>
  <c r="F54" i="79"/>
  <c r="F53" i="79"/>
  <c r="F52" i="79"/>
  <c r="F51" i="79"/>
  <c r="F50" i="79"/>
  <c r="F49" i="79"/>
  <c r="F48" i="79"/>
  <c r="F47" i="79"/>
  <c r="F46" i="79"/>
  <c r="F39" i="79"/>
  <c r="F38" i="79"/>
  <c r="F37" i="79"/>
  <c r="F36" i="79"/>
  <c r="F35" i="79"/>
  <c r="F34" i="79"/>
  <c r="F33" i="79"/>
  <c r="F32" i="79"/>
  <c r="F31" i="79"/>
  <c r="F30" i="79"/>
  <c r="F29" i="79"/>
  <c r="F28" i="79"/>
  <c r="F27" i="79"/>
  <c r="F26" i="79"/>
  <c r="F41" i="79"/>
  <c r="F18" i="79"/>
  <c r="F17" i="79"/>
  <c r="F16" i="79"/>
  <c r="F15" i="79"/>
  <c r="F14" i="79"/>
  <c r="F13" i="79"/>
  <c r="F12" i="79"/>
  <c r="F20" i="79"/>
  <c r="F11" i="79"/>
  <c r="F10" i="79"/>
  <c r="F9" i="79"/>
  <c r="F8" i="79"/>
  <c r="F7" i="79"/>
  <c r="F6" i="79"/>
  <c r="F5" i="79"/>
  <c r="F23" i="79"/>
  <c r="F25" i="79"/>
  <c r="F22" i="79"/>
  <c r="F4" i="79"/>
  <c r="F24" i="79"/>
  <c r="F21" i="79"/>
  <c r="F19" i="79"/>
  <c r="F45" i="79"/>
  <c r="F44" i="79"/>
  <c r="F43" i="79"/>
  <c r="F42" i="79"/>
  <c r="F3" i="79"/>
  <c r="F2" i="79"/>
  <c r="F19" i="35"/>
  <c r="F13" i="33"/>
  <c r="F13" i="34"/>
  <c r="F5" i="2"/>
  <c r="D9" i="41"/>
  <c r="D9" i="40"/>
  <c r="D9" i="39"/>
  <c r="D9" i="38"/>
  <c r="D9" i="36"/>
  <c r="F10" i="41"/>
  <c r="E10" i="41" s="1" a="1"/>
  <c r="F9" i="41"/>
  <c r="E9" i="41" s="1"/>
  <c r="F8" i="41"/>
  <c r="E8" i="41" s="1"/>
  <c r="F7" i="41"/>
  <c r="E7" i="41" s="1"/>
  <c r="F6" i="41"/>
  <c r="E6" i="41" s="1"/>
  <c r="F5" i="41"/>
  <c r="E5" i="41" s="1" a="1"/>
  <c r="F4" i="41"/>
  <c r="E4" i="41" s="1" a="1"/>
  <c r="F3" i="41"/>
  <c r="E3" i="41" s="1" a="1"/>
  <c r="F10" i="40"/>
  <c r="F9" i="40"/>
  <c r="E9" i="40" s="1"/>
  <c r="F8" i="40"/>
  <c r="F7" i="40"/>
  <c r="F6" i="40"/>
  <c r="F5" i="40"/>
  <c r="F4" i="40"/>
  <c r="F3" i="40"/>
  <c r="F10" i="39"/>
  <c r="F9" i="39"/>
  <c r="F8" i="39"/>
  <c r="F7" i="39"/>
  <c r="F6" i="39"/>
  <c r="F5" i="39"/>
  <c r="F4" i="39"/>
  <c r="F3" i="39"/>
  <c r="F10" i="38"/>
  <c r="F9" i="38"/>
  <c r="F8" i="38"/>
  <c r="F7" i="38"/>
  <c r="F6" i="38"/>
  <c r="F5" i="38"/>
  <c r="F4" i="38"/>
  <c r="F3" i="38"/>
  <c r="F10" i="37"/>
  <c r="F9" i="37"/>
  <c r="F8" i="37"/>
  <c r="F7" i="37"/>
  <c r="F6" i="37"/>
  <c r="F5" i="37"/>
  <c r="F4" i="37"/>
  <c r="F3" i="37"/>
  <c r="F10" i="36"/>
  <c r="F9" i="36"/>
  <c r="F8" i="36"/>
  <c r="F7" i="36"/>
  <c r="F6" i="36"/>
  <c r="F5" i="36"/>
  <c r="F4" i="36"/>
  <c r="F3" i="36"/>
  <c r="F2" i="24"/>
  <c r="F3" i="24"/>
  <c r="F4" i="24"/>
  <c r="F5" i="24"/>
  <c r="F6" i="24"/>
  <c r="F7" i="24"/>
  <c r="F8" i="24"/>
  <c r="F9" i="24"/>
  <c r="F10" i="24"/>
  <c r="F2" i="25"/>
  <c r="F3" i="25"/>
  <c r="F4" i="25"/>
  <c r="F5" i="25"/>
  <c r="F6" i="25"/>
  <c r="F7" i="25"/>
  <c r="F8" i="25"/>
  <c r="F9" i="25"/>
  <c r="F10" i="25"/>
  <c r="F2" i="26"/>
  <c r="F3" i="26"/>
  <c r="F4" i="26"/>
  <c r="F5" i="26"/>
  <c r="F6" i="26"/>
  <c r="F7" i="26"/>
  <c r="F8" i="26"/>
  <c r="F9" i="26"/>
  <c r="F10" i="26"/>
  <c r="F3" i="7"/>
  <c r="F4" i="7"/>
  <c r="F5" i="7"/>
  <c r="F6" i="7"/>
  <c r="F7" i="7"/>
  <c r="F8" i="7"/>
  <c r="F9" i="7"/>
  <c r="F10" i="7"/>
  <c r="F2" i="7"/>
  <c r="F2" i="23"/>
  <c r="F3" i="23"/>
  <c r="F4" i="23"/>
  <c r="F5" i="23"/>
  <c r="F6" i="23"/>
  <c r="F7" i="23"/>
  <c r="F8" i="23"/>
  <c r="F9" i="23"/>
  <c r="F10" i="23"/>
  <c r="F2" i="22"/>
  <c r="F3" i="22"/>
  <c r="F4" i="22"/>
  <c r="F5" i="22"/>
  <c r="F6" i="22"/>
  <c r="F7" i="22"/>
  <c r="F8" i="22"/>
  <c r="F9" i="22"/>
  <c r="F10" i="22"/>
  <c r="F2" i="21"/>
  <c r="F3" i="21"/>
  <c r="F4" i="21"/>
  <c r="F5" i="21"/>
  <c r="F6" i="21"/>
  <c r="F7" i="21"/>
  <c r="F8" i="21"/>
  <c r="F9" i="21"/>
  <c r="F10" i="21"/>
  <c r="F3" i="6"/>
  <c r="F4" i="6"/>
  <c r="F5" i="6"/>
  <c r="F6" i="6"/>
  <c r="F7" i="6"/>
  <c r="F8" i="6"/>
  <c r="F9" i="6"/>
  <c r="F10" i="6"/>
  <c r="F2" i="6"/>
  <c r="F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2" i="18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15" i="4"/>
  <c r="F16" i="4"/>
  <c r="F17" i="4"/>
  <c r="F18" i="4"/>
  <c r="F19" i="4"/>
  <c r="F20" i="4"/>
  <c r="F3" i="4"/>
  <c r="F4" i="4"/>
  <c r="F5" i="4"/>
  <c r="F6" i="4"/>
  <c r="F7" i="4"/>
  <c r="F8" i="4"/>
  <c r="F9" i="4"/>
  <c r="F10" i="4"/>
  <c r="F11" i="4"/>
  <c r="F12" i="4"/>
  <c r="F13" i="4"/>
  <c r="F14" i="4"/>
  <c r="F2" i="4"/>
  <c r="F2" i="14"/>
  <c r="F3" i="14"/>
  <c r="F4" i="14"/>
  <c r="F5" i="14"/>
  <c r="F6" i="14"/>
  <c r="F8" i="14"/>
  <c r="F9" i="14"/>
  <c r="F10" i="14"/>
  <c r="F11" i="14"/>
  <c r="F12" i="14"/>
  <c r="F13" i="14"/>
  <c r="F2" i="13"/>
  <c r="F3" i="13"/>
  <c r="F4" i="13"/>
  <c r="F5" i="13"/>
  <c r="F6" i="13"/>
  <c r="F8" i="13"/>
  <c r="F9" i="13"/>
  <c r="F10" i="13"/>
  <c r="F11" i="13"/>
  <c r="F12" i="13"/>
  <c r="F13" i="13"/>
  <c r="F2" i="12"/>
  <c r="F3" i="12"/>
  <c r="F4" i="12"/>
  <c r="F5" i="12"/>
  <c r="F6" i="12"/>
  <c r="F8" i="12"/>
  <c r="F9" i="12"/>
  <c r="F10" i="12"/>
  <c r="F11" i="12"/>
  <c r="F12" i="12"/>
  <c r="F13" i="12"/>
  <c r="F12" i="3"/>
  <c r="F13" i="3"/>
  <c r="F3" i="3"/>
  <c r="F4" i="3"/>
  <c r="F5" i="3"/>
  <c r="F6" i="3"/>
  <c r="F8" i="3"/>
  <c r="F9" i="3"/>
  <c r="F10" i="3"/>
  <c r="F11" i="3"/>
  <c r="F2" i="35"/>
  <c r="F3" i="35"/>
  <c r="F4" i="35"/>
  <c r="F5" i="35"/>
  <c r="F6" i="35"/>
  <c r="F7" i="35"/>
  <c r="F13" i="35"/>
  <c r="F15" i="35"/>
  <c r="F16" i="35"/>
  <c r="F17" i="35"/>
  <c r="F18" i="35"/>
  <c r="F2" i="33"/>
  <c r="F3" i="33"/>
  <c r="F4" i="33"/>
  <c r="F5" i="33"/>
  <c r="F6" i="33"/>
  <c r="F7" i="33"/>
  <c r="F8" i="33"/>
  <c r="F9" i="33"/>
  <c r="F10" i="33"/>
  <c r="F11" i="33"/>
  <c r="F12" i="33"/>
  <c r="F2" i="34"/>
  <c r="F3" i="34"/>
  <c r="F4" i="34"/>
  <c r="F5" i="34"/>
  <c r="F6" i="34"/>
  <c r="F7" i="34"/>
  <c r="F8" i="34"/>
  <c r="F9" i="34"/>
  <c r="F10" i="34"/>
  <c r="F11" i="34"/>
  <c r="F12" i="34"/>
  <c r="F2" i="32"/>
  <c r="F3" i="32"/>
  <c r="F4" i="32"/>
  <c r="F5" i="32"/>
  <c r="F6" i="32"/>
  <c r="F7" i="32"/>
  <c r="F8" i="32"/>
  <c r="F10" i="32"/>
  <c r="F12" i="32"/>
  <c r="F10" i="2"/>
  <c r="F11" i="2"/>
  <c r="F12" i="2"/>
  <c r="F3" i="2"/>
  <c r="F4" i="2"/>
  <c r="F6" i="2"/>
  <c r="F7" i="2"/>
  <c r="F8" i="2"/>
  <c r="F9" i="2"/>
  <c r="F2" i="2"/>
  <c r="F2" i="29"/>
  <c r="F3" i="29"/>
  <c r="F4" i="29"/>
  <c r="F5" i="29"/>
  <c r="F7" i="29"/>
  <c r="F8" i="29"/>
  <c r="F9" i="29"/>
  <c r="F2" i="31"/>
  <c r="F3" i="31"/>
  <c r="F4" i="31"/>
  <c r="F5" i="31"/>
  <c r="F7" i="31"/>
  <c r="F8" i="31"/>
  <c r="F9" i="31"/>
  <c r="F2" i="30"/>
  <c r="F3" i="30"/>
  <c r="F4" i="30"/>
  <c r="F5" i="30"/>
  <c r="F7" i="30"/>
  <c r="F8" i="30"/>
  <c r="F9" i="30"/>
  <c r="F3" i="1"/>
  <c r="F5" i="1"/>
  <c r="F7" i="1"/>
  <c r="F8" i="1"/>
  <c r="F9" i="1"/>
  <c r="F2" i="1"/>
  <c r="F2" i="3"/>
  <c r="E2" i="36" l="1" a="1"/>
  <c r="E7" i="40"/>
  <c r="E6" i="40"/>
  <c r="D6" i="38"/>
  <c r="D10" i="38"/>
  <c r="D5" i="38"/>
  <c r="D4" i="38"/>
  <c r="D3" i="38"/>
  <c r="D10" i="41"/>
  <c r="D5" i="41"/>
  <c r="D4" i="41"/>
  <c r="D3" i="41"/>
  <c r="D8" i="35"/>
  <c r="D9" i="35"/>
  <c r="D10" i="35"/>
  <c r="D11" i="35"/>
  <c r="D12" i="35"/>
  <c r="D10" i="37"/>
  <c r="D5" i="37"/>
  <c r="D4" i="37"/>
  <c r="D3" i="37"/>
  <c r="D6" i="40"/>
  <c r="D10" i="40"/>
  <c r="D5" i="40"/>
  <c r="D4" i="40"/>
  <c r="D3" i="40"/>
  <c r="D10" i="36"/>
  <c r="D5" i="36"/>
  <c r="D4" i="36"/>
  <c r="D3" i="36"/>
  <c r="D10" i="39"/>
  <c r="D5" i="39"/>
  <c r="D4" i="39"/>
  <c r="D3" i="39"/>
  <c r="E9" i="32" a="1"/>
  <c r="E11" i="32" a="1"/>
  <c r="D14" i="35"/>
  <c r="D2" i="35"/>
  <c r="D3" i="35"/>
  <c r="D4" i="35"/>
  <c r="D5" i="35"/>
  <c r="D6" i="35"/>
  <c r="D7" i="35"/>
  <c r="D13" i="35"/>
  <c r="D15" i="35"/>
  <c r="D16" i="35"/>
  <c r="D17" i="35"/>
  <c r="D18" i="35"/>
  <c r="D19" i="35"/>
  <c r="E9" i="39"/>
  <c r="E3" i="40" a="1"/>
  <c r="E8" i="40"/>
  <c r="E4" i="40" a="1"/>
  <c r="E5" i="40" a="1"/>
  <c r="E10" i="40" a="1"/>
  <c r="D6" i="1"/>
  <c r="D40" i="79"/>
  <c r="D6" i="30"/>
  <c r="D40" i="80"/>
  <c r="D6" i="31"/>
  <c r="D40" i="81"/>
  <c r="D6" i="29"/>
  <c r="D40" i="82"/>
  <c r="E7" i="38"/>
  <c r="E8" i="36"/>
  <c r="E8" i="39"/>
  <c r="E6" i="37"/>
  <c r="E9" i="37"/>
  <c r="E4" i="36" a="1"/>
  <c r="E7" i="36"/>
  <c r="E10" i="36" a="1"/>
  <c r="E4" i="37" a="1"/>
  <c r="E4" i="38" a="1"/>
  <c r="E6" i="38"/>
  <c r="E9" i="38"/>
  <c r="E4" i="39" a="1"/>
  <c r="E6" i="39"/>
  <c r="E5" i="36" a="1"/>
  <c r="E5" i="37" a="1"/>
  <c r="E7" i="37"/>
  <c r="E10" i="37" a="1"/>
  <c r="E5" i="38" a="1"/>
  <c r="E10" i="38" a="1"/>
  <c r="E5" i="39" a="1"/>
  <c r="E7" i="39"/>
  <c r="E10" i="39" a="1"/>
  <c r="E3" i="36" a="1"/>
  <c r="E6" i="36"/>
  <c r="E9" i="36"/>
  <c r="E3" i="37" a="1"/>
  <c r="E8" i="37"/>
  <c r="E3" i="38" a="1"/>
  <c r="E8" i="38"/>
  <c r="E3" i="39" a="1"/>
  <c r="D2" i="87"/>
  <c r="D3" i="87"/>
  <c r="D4" i="87"/>
  <c r="D5" i="87"/>
  <c r="D6" i="87"/>
  <c r="D7" i="87"/>
  <c r="D8" i="87"/>
  <c r="D9" i="87"/>
  <c r="D10" i="87"/>
  <c r="D11" i="87"/>
  <c r="D12" i="87"/>
  <c r="D13" i="87"/>
  <c r="D14" i="87"/>
  <c r="D15" i="87"/>
  <c r="D16" i="87"/>
  <c r="D17" i="87"/>
  <c r="D18" i="87"/>
  <c r="D19" i="87"/>
  <c r="D2" i="86"/>
  <c r="D3" i="86"/>
  <c r="D4" i="86"/>
  <c r="D5" i="86"/>
  <c r="D6" i="86"/>
  <c r="D7" i="86"/>
  <c r="D8" i="86"/>
  <c r="D9" i="86"/>
  <c r="D10" i="86"/>
  <c r="D11" i="86"/>
  <c r="D12" i="86"/>
  <c r="D13" i="86"/>
  <c r="D14" i="86"/>
  <c r="D15" i="86"/>
  <c r="D16" i="86"/>
  <c r="D17" i="86"/>
  <c r="D18" i="86"/>
  <c r="D19" i="86"/>
  <c r="D2" i="85"/>
  <c r="D3" i="85"/>
  <c r="D4" i="85"/>
  <c r="D5" i="85"/>
  <c r="D6" i="85"/>
  <c r="D7" i="85"/>
  <c r="D8" i="85"/>
  <c r="D9" i="85"/>
  <c r="D10" i="85"/>
  <c r="D11" i="85"/>
  <c r="D12" i="85"/>
  <c r="D13" i="85"/>
  <c r="D14" i="85"/>
  <c r="D15" i="85"/>
  <c r="D16" i="85"/>
  <c r="D17" i="85"/>
  <c r="D18" i="85"/>
  <c r="D19" i="85"/>
  <c r="D2" i="29"/>
  <c r="D19" i="83"/>
  <c r="D15" i="83"/>
  <c r="D16" i="83"/>
  <c r="D17" i="83"/>
  <c r="D13" i="83"/>
  <c r="D10" i="83"/>
  <c r="D5" i="83"/>
  <c r="D6" i="83"/>
  <c r="D7" i="83"/>
  <c r="E2" i="85" a="1"/>
  <c r="E3" i="85" a="1"/>
  <c r="E4" i="85" a="1"/>
  <c r="E5" i="85" a="1"/>
  <c r="E6" i="85" a="1"/>
  <c r="E7" i="85" a="1"/>
  <c r="E8" i="85" a="1"/>
  <c r="E9" i="85" a="1"/>
  <c r="E10" i="85" a="1"/>
  <c r="E11" i="85" a="1"/>
  <c r="E12" i="85" a="1"/>
  <c r="E13" i="85" a="1"/>
  <c r="E14" i="85" a="1"/>
  <c r="E15" i="85" a="1"/>
  <c r="E16" i="85" a="1"/>
  <c r="E17" i="85" a="1"/>
  <c r="E18" i="85" a="1"/>
  <c r="E19" i="85" a="1"/>
  <c r="E2" i="86" a="1"/>
  <c r="E3" i="86" a="1"/>
  <c r="E4" i="86" a="1"/>
  <c r="E5" i="86" a="1"/>
  <c r="E6" i="86" a="1"/>
  <c r="E7" i="86" a="1"/>
  <c r="E8" i="86" a="1"/>
  <c r="E9" i="86" a="1"/>
  <c r="E10" i="86" a="1"/>
  <c r="E11" i="86" a="1"/>
  <c r="E12" i="86" a="1"/>
  <c r="E13" i="86" a="1"/>
  <c r="E14" i="86" a="1"/>
  <c r="E15" i="86" a="1"/>
  <c r="E16" i="86" a="1"/>
  <c r="E17" i="86" a="1"/>
  <c r="E18" i="86" a="1"/>
  <c r="E19" i="86" a="1"/>
  <c r="E14" i="83" a="1"/>
  <c r="D5" i="1"/>
  <c r="D56" i="79"/>
  <c r="D55" i="79"/>
  <c r="D54" i="79"/>
  <c r="D53" i="79"/>
  <c r="D52" i="79"/>
  <c r="D51" i="79"/>
  <c r="D50" i="79"/>
  <c r="D49" i="79"/>
  <c r="D48" i="79"/>
  <c r="D47" i="79"/>
  <c r="D46" i="79"/>
  <c r="D39" i="79"/>
  <c r="D38" i="79"/>
  <c r="D37" i="79"/>
  <c r="D36" i="79"/>
  <c r="D35" i="79"/>
  <c r="D34" i="79"/>
  <c r="D33" i="79"/>
  <c r="D32" i="79"/>
  <c r="D31" i="79"/>
  <c r="D30" i="79"/>
  <c r="D29" i="79"/>
  <c r="D28" i="79"/>
  <c r="D27" i="79"/>
  <c r="D26" i="79"/>
  <c r="D41" i="79"/>
  <c r="D18" i="79"/>
  <c r="D17" i="79"/>
  <c r="D16" i="79"/>
  <c r="D15" i="79"/>
  <c r="D14" i="79"/>
  <c r="D13" i="79"/>
  <c r="D12" i="79"/>
  <c r="D20" i="79"/>
  <c r="D11" i="79"/>
  <c r="D10" i="79"/>
  <c r="D9" i="79"/>
  <c r="D8" i="79"/>
  <c r="D7" i="79"/>
  <c r="D6" i="79"/>
  <c r="D5" i="79"/>
  <c r="D23" i="79"/>
  <c r="D25" i="79"/>
  <c r="D22" i="79"/>
  <c r="D4" i="79"/>
  <c r="D24" i="79"/>
  <c r="D21" i="79"/>
  <c r="D19" i="79"/>
  <c r="D45" i="79"/>
  <c r="D44" i="79"/>
  <c r="D43" i="79"/>
  <c r="D42" i="79"/>
  <c r="D3" i="79"/>
  <c r="D2" i="79"/>
  <c r="D4" i="30"/>
  <c r="D2" i="80"/>
  <c r="D3" i="80"/>
  <c r="D4" i="80"/>
  <c r="D19" i="80"/>
  <c r="D20" i="80"/>
  <c r="D21" i="80"/>
  <c r="D22" i="80"/>
  <c r="D23" i="80"/>
  <c r="D24" i="80"/>
  <c r="D25" i="80"/>
  <c r="D5" i="80"/>
  <c r="D6" i="80"/>
  <c r="D7" i="80"/>
  <c r="D8" i="80"/>
  <c r="D9" i="80"/>
  <c r="D10" i="80"/>
  <c r="D11" i="80"/>
  <c r="D12" i="80"/>
  <c r="D13" i="80"/>
  <c r="D14" i="80"/>
  <c r="D15" i="80"/>
  <c r="D16" i="80"/>
  <c r="D17" i="80"/>
  <c r="D18" i="80"/>
  <c r="D26" i="80"/>
  <c r="D27" i="80"/>
  <c r="D28" i="80"/>
  <c r="D29" i="80"/>
  <c r="D30" i="80"/>
  <c r="D31" i="80"/>
  <c r="D32" i="80"/>
  <c r="D33" i="80"/>
  <c r="D34" i="80"/>
  <c r="D35" i="80"/>
  <c r="D36" i="80"/>
  <c r="D37" i="80"/>
  <c r="D38" i="80"/>
  <c r="D39" i="80"/>
  <c r="D41" i="80"/>
  <c r="D42" i="80"/>
  <c r="D43" i="80"/>
  <c r="D44" i="80"/>
  <c r="D45" i="80"/>
  <c r="D46" i="80"/>
  <c r="D47" i="80"/>
  <c r="D48" i="80"/>
  <c r="D49" i="80"/>
  <c r="D50" i="80"/>
  <c r="D51" i="80"/>
  <c r="D52" i="80"/>
  <c r="D53" i="80"/>
  <c r="D54" i="80"/>
  <c r="D55" i="80"/>
  <c r="D56" i="80"/>
  <c r="D3" i="31"/>
  <c r="D2" i="81"/>
  <c r="D3" i="81"/>
  <c r="D4" i="81"/>
  <c r="D19" i="81"/>
  <c r="D20" i="81"/>
  <c r="D21" i="81"/>
  <c r="D22" i="81"/>
  <c r="D23" i="81"/>
  <c r="D24" i="81"/>
  <c r="D25" i="81"/>
  <c r="D5" i="81"/>
  <c r="D6" i="81"/>
  <c r="D7" i="81"/>
  <c r="D8" i="81"/>
  <c r="D9" i="81"/>
  <c r="D10" i="81"/>
  <c r="D11" i="81"/>
  <c r="D12" i="81"/>
  <c r="D13" i="81"/>
  <c r="D14" i="81"/>
  <c r="D15" i="81"/>
  <c r="D16" i="81"/>
  <c r="D17" i="81"/>
  <c r="D18" i="81"/>
  <c r="D26" i="81"/>
  <c r="D27" i="81"/>
  <c r="D28" i="81"/>
  <c r="D29" i="81"/>
  <c r="D30" i="81"/>
  <c r="D31" i="81"/>
  <c r="D32" i="81"/>
  <c r="D33" i="81"/>
  <c r="D34" i="81"/>
  <c r="D35" i="81"/>
  <c r="D36" i="81"/>
  <c r="D37" i="81"/>
  <c r="D38" i="81"/>
  <c r="D39" i="81"/>
  <c r="D41" i="81"/>
  <c r="D42" i="81"/>
  <c r="D43" i="81"/>
  <c r="D44" i="81"/>
  <c r="D45" i="81"/>
  <c r="D46" i="81"/>
  <c r="D47" i="81"/>
  <c r="D48" i="81"/>
  <c r="D49" i="81"/>
  <c r="D50" i="81"/>
  <c r="D51" i="81"/>
  <c r="D52" i="81"/>
  <c r="D53" i="81"/>
  <c r="D54" i="81"/>
  <c r="D55" i="81"/>
  <c r="D56" i="81"/>
  <c r="D2" i="82"/>
  <c r="D3" i="82"/>
  <c r="D4" i="82"/>
  <c r="D19" i="82"/>
  <c r="D20" i="82"/>
  <c r="D21" i="82"/>
  <c r="D22" i="82"/>
  <c r="D23" i="82"/>
  <c r="D24" i="82"/>
  <c r="D25" i="82"/>
  <c r="D5" i="82"/>
  <c r="D6" i="82"/>
  <c r="D7" i="82"/>
  <c r="D8" i="82"/>
  <c r="D9" i="82"/>
  <c r="D10" i="82"/>
  <c r="D11" i="82"/>
  <c r="D12" i="82"/>
  <c r="D13" i="82"/>
  <c r="D14" i="82"/>
  <c r="D15" i="82"/>
  <c r="D16" i="82"/>
  <c r="D17" i="82"/>
  <c r="D18" i="82"/>
  <c r="D26" i="82"/>
  <c r="D27" i="82"/>
  <c r="D28" i="82"/>
  <c r="D29" i="82"/>
  <c r="D30" i="82"/>
  <c r="D31" i="82"/>
  <c r="D32" i="82"/>
  <c r="D33" i="82"/>
  <c r="D34" i="82"/>
  <c r="D35" i="82"/>
  <c r="D36" i="82"/>
  <c r="D37" i="82"/>
  <c r="D38" i="82"/>
  <c r="D39" i="82"/>
  <c r="D41" i="82"/>
  <c r="D42" i="82"/>
  <c r="D43" i="82"/>
  <c r="D44" i="82"/>
  <c r="D45" i="82"/>
  <c r="D46" i="82"/>
  <c r="D47" i="82"/>
  <c r="D48" i="82"/>
  <c r="D49" i="82"/>
  <c r="D50" i="82"/>
  <c r="D51" i="82"/>
  <c r="D52" i="82"/>
  <c r="D53" i="82"/>
  <c r="D54" i="82"/>
  <c r="D55" i="82"/>
  <c r="D56" i="82"/>
  <c r="D18" i="83"/>
  <c r="D14" i="83"/>
  <c r="D12" i="83"/>
  <c r="D11" i="83"/>
  <c r="D9" i="83"/>
  <c r="D8" i="83"/>
  <c r="D4" i="83"/>
  <c r="D3" i="83"/>
  <c r="D2" i="83"/>
  <c r="E2" i="80" a="1"/>
  <c r="E3" i="80" a="1"/>
  <c r="E4" i="80" a="1"/>
  <c r="E19" i="80" a="1"/>
  <c r="E20" i="80" a="1"/>
  <c r="E21" i="80" a="1"/>
  <c r="E22" i="80" a="1"/>
  <c r="E23" i="80" a="1"/>
  <c r="E24" i="80" a="1"/>
  <c r="E25" i="80" a="1"/>
  <c r="E5" i="80" a="1"/>
  <c r="E6" i="80" a="1"/>
  <c r="E7" i="80" a="1"/>
  <c r="E8" i="80" a="1"/>
  <c r="E9" i="80" a="1"/>
  <c r="E10" i="80" a="1"/>
  <c r="E11" i="80" a="1"/>
  <c r="E12" i="80" a="1"/>
  <c r="E13" i="80" a="1"/>
  <c r="E14" i="80" a="1"/>
  <c r="E15" i="80" a="1"/>
  <c r="E16" i="80" a="1"/>
  <c r="E17" i="80" a="1"/>
  <c r="E18" i="80" a="1"/>
  <c r="E26" i="80" a="1"/>
  <c r="E27" i="80" a="1"/>
  <c r="E28" i="80" a="1"/>
  <c r="E29" i="80" a="1"/>
  <c r="E30" i="80" a="1"/>
  <c r="E31" i="80" a="1"/>
  <c r="E32" i="80" a="1"/>
  <c r="E33" i="80" a="1"/>
  <c r="E34" i="80" a="1"/>
  <c r="E35" i="80" a="1"/>
  <c r="E36" i="80" a="1"/>
  <c r="E37" i="80" a="1"/>
  <c r="E38" i="80" a="1"/>
  <c r="E39" i="80" a="1"/>
  <c r="E41" i="80" a="1"/>
  <c r="E42" i="80" a="1"/>
  <c r="E43" i="80" a="1"/>
  <c r="E44" i="80" a="1"/>
  <c r="E45" i="80" a="1"/>
  <c r="E46" i="80" a="1"/>
  <c r="E47" i="80" a="1"/>
  <c r="E48" i="80" a="1"/>
  <c r="E49" i="80" a="1"/>
  <c r="E50" i="80" a="1"/>
  <c r="E51" i="80" a="1"/>
  <c r="E52" i="80" a="1"/>
  <c r="E53" i="80" a="1"/>
  <c r="E54" i="80" a="1"/>
  <c r="E55" i="80" a="1"/>
  <c r="E56" i="80" a="1"/>
  <c r="E2" i="81" a="1"/>
  <c r="E3" i="81" a="1"/>
  <c r="E4" i="81" a="1"/>
  <c r="E19" i="81" a="1"/>
  <c r="E20" i="81" a="1"/>
  <c r="E21" i="81" a="1"/>
  <c r="E22" i="81" a="1"/>
  <c r="E23" i="81" a="1"/>
  <c r="E24" i="81" a="1"/>
  <c r="E25" i="81" a="1"/>
  <c r="E5" i="81" a="1"/>
  <c r="E6" i="81" a="1"/>
  <c r="E7" i="81" a="1"/>
  <c r="E8" i="81" a="1"/>
  <c r="E9" i="81" a="1"/>
  <c r="E10" i="81" a="1"/>
  <c r="E11" i="81" a="1"/>
  <c r="E12" i="81" a="1"/>
  <c r="E13" i="81" a="1"/>
  <c r="E14" i="81" a="1"/>
  <c r="E15" i="81" a="1"/>
  <c r="E16" i="81" a="1"/>
  <c r="E17" i="81" a="1"/>
  <c r="E18" i="81" a="1"/>
  <c r="E26" i="81" a="1"/>
  <c r="E27" i="81" a="1"/>
  <c r="E28" i="81" a="1"/>
  <c r="E29" i="81" a="1"/>
  <c r="E30" i="81" a="1"/>
  <c r="E31" i="81" a="1"/>
  <c r="E32" i="81" a="1"/>
  <c r="E33" i="81" a="1"/>
  <c r="E34" i="81" a="1"/>
  <c r="E35" i="81" a="1"/>
  <c r="E36" i="81" a="1"/>
  <c r="E37" i="81" a="1"/>
  <c r="E38" i="81" a="1"/>
  <c r="E39" i="81" a="1"/>
  <c r="E41" i="81" a="1"/>
  <c r="E42" i="81" a="1"/>
  <c r="E43" i="81" a="1"/>
  <c r="E44" i="81" a="1"/>
  <c r="E45" i="81" a="1"/>
  <c r="E46" i="81" a="1"/>
  <c r="E47" i="81" a="1"/>
  <c r="E48" i="81" a="1"/>
  <c r="E49" i="81" a="1"/>
  <c r="E50" i="81" a="1"/>
  <c r="E51" i="81" a="1"/>
  <c r="E52" i="81" a="1"/>
  <c r="E53" i="81" a="1"/>
  <c r="E54" i="81" a="1"/>
  <c r="E55" i="81" a="1"/>
  <c r="E56" i="81" a="1"/>
  <c r="E4" i="82" a="1"/>
  <c r="E20" i="82" a="1"/>
  <c r="E23" i="82" a="1"/>
  <c r="E5" i="82" a="1"/>
  <c r="E8" i="82" a="1"/>
  <c r="E11" i="82" a="1"/>
  <c r="E14" i="82" a="1"/>
  <c r="E17" i="82" a="1"/>
  <c r="E27" i="82" a="1"/>
  <c r="E30" i="82" a="1"/>
  <c r="E33" i="82" a="1"/>
  <c r="E36" i="82" a="1"/>
  <c r="E39" i="82" a="1"/>
  <c r="E43" i="82" a="1"/>
  <c r="E46" i="82" a="1"/>
  <c r="E49" i="82" a="1"/>
  <c r="E52" i="82" a="1"/>
  <c r="E55" i="82" a="1"/>
  <c r="D9" i="37"/>
  <c r="D9" i="12"/>
  <c r="D19" i="15"/>
  <c r="D11" i="15"/>
  <c r="D3" i="15"/>
  <c r="D10" i="5"/>
  <c r="D2" i="21"/>
  <c r="D3" i="21"/>
  <c r="D4" i="24"/>
  <c r="D8" i="13"/>
  <c r="D18" i="16"/>
  <c r="D10" i="16"/>
  <c r="D2" i="19"/>
  <c r="D9" i="19"/>
  <c r="D10" i="22"/>
  <c r="D2" i="25"/>
  <c r="D3" i="25"/>
  <c r="D6" i="14"/>
  <c r="D17" i="17"/>
  <c r="D9" i="17"/>
  <c r="D16" i="20"/>
  <c r="D8" i="20"/>
  <c r="D9" i="23"/>
  <c r="D10" i="26"/>
  <c r="D8" i="12"/>
  <c r="D18" i="15"/>
  <c r="D10" i="15"/>
  <c r="D2" i="5"/>
  <c r="D9" i="5"/>
  <c r="D10" i="21"/>
  <c r="D2" i="24"/>
  <c r="D3" i="24"/>
  <c r="D6" i="13"/>
  <c r="D17" i="16"/>
  <c r="D9" i="16"/>
  <c r="D16" i="19"/>
  <c r="D8" i="19"/>
  <c r="D9" i="22"/>
  <c r="D10" i="25"/>
  <c r="D2" i="14"/>
  <c r="D5" i="14"/>
  <c r="D16" i="17"/>
  <c r="D8" i="17"/>
  <c r="D15" i="20"/>
  <c r="D7" i="20"/>
  <c r="D8" i="23"/>
  <c r="D9" i="26"/>
  <c r="D6" i="12"/>
  <c r="D17" i="15"/>
  <c r="D9" i="15"/>
  <c r="D16" i="5"/>
  <c r="D8" i="5"/>
  <c r="D9" i="21"/>
  <c r="D10" i="24"/>
  <c r="D2" i="13"/>
  <c r="D5" i="13"/>
  <c r="D16" i="16"/>
  <c r="D8" i="16"/>
  <c r="D15" i="19"/>
  <c r="D7" i="19"/>
  <c r="D8" i="22"/>
  <c r="D9" i="25"/>
  <c r="D13" i="14"/>
  <c r="D4" i="14"/>
  <c r="D15" i="17"/>
  <c r="D7" i="17"/>
  <c r="D14" i="20"/>
  <c r="D6" i="20"/>
  <c r="D7" i="23"/>
  <c r="D8" i="26"/>
  <c r="D2" i="12"/>
  <c r="D5" i="12"/>
  <c r="D16" i="15"/>
  <c r="D8" i="15"/>
  <c r="D15" i="5"/>
  <c r="D7" i="5"/>
  <c r="D8" i="21"/>
  <c r="D9" i="24"/>
  <c r="D13" i="13"/>
  <c r="D4" i="13"/>
  <c r="D15" i="16"/>
  <c r="D7" i="16"/>
  <c r="D14" i="19"/>
  <c r="D6" i="19"/>
  <c r="D7" i="22"/>
  <c r="D8" i="25"/>
  <c r="D12" i="14"/>
  <c r="D3" i="14"/>
  <c r="D14" i="17"/>
  <c r="D6" i="17"/>
  <c r="D13" i="20"/>
  <c r="D5" i="20"/>
  <c r="D6" i="23"/>
  <c r="D7" i="26"/>
  <c r="D13" i="12"/>
  <c r="D4" i="12"/>
  <c r="D15" i="15"/>
  <c r="D7" i="15"/>
  <c r="D14" i="5"/>
  <c r="D6" i="5"/>
  <c r="D7" i="21"/>
  <c r="D8" i="24"/>
  <c r="D12" i="13"/>
  <c r="D3" i="13"/>
  <c r="D14" i="16"/>
  <c r="D6" i="16"/>
  <c r="D13" i="19"/>
  <c r="D5" i="19"/>
  <c r="D6" i="22"/>
  <c r="D7" i="25"/>
  <c r="D11" i="14"/>
  <c r="D2" i="17"/>
  <c r="D13" i="17"/>
  <c r="D5" i="17"/>
  <c r="D12" i="20"/>
  <c r="D4" i="20"/>
  <c r="D5" i="23"/>
  <c r="D6" i="26"/>
  <c r="D12" i="12"/>
  <c r="D3" i="12"/>
  <c r="D14" i="15"/>
  <c r="D6" i="15"/>
  <c r="D13" i="5"/>
  <c r="D5" i="5"/>
  <c r="D6" i="21"/>
  <c r="D7" i="24"/>
  <c r="D11" i="13"/>
  <c r="D2" i="16"/>
  <c r="D13" i="16"/>
  <c r="D5" i="16"/>
  <c r="D12" i="19"/>
  <c r="D4" i="19"/>
  <c r="D5" i="22"/>
  <c r="D6" i="25"/>
  <c r="D10" i="14"/>
  <c r="D20" i="17"/>
  <c r="D12" i="17"/>
  <c r="D4" i="17"/>
  <c r="D11" i="20"/>
  <c r="D3" i="20"/>
  <c r="D4" i="23"/>
  <c r="D5" i="26"/>
  <c r="D11" i="12"/>
  <c r="D2" i="15"/>
  <c r="D13" i="15"/>
  <c r="D5" i="15"/>
  <c r="D12" i="5"/>
  <c r="D4" i="5"/>
  <c r="D5" i="21"/>
  <c r="D6" i="24"/>
  <c r="D10" i="13"/>
  <c r="D20" i="16"/>
  <c r="D12" i="16"/>
  <c r="D4" i="16"/>
  <c r="D11" i="19"/>
  <c r="D3" i="19"/>
  <c r="D4" i="22"/>
  <c r="D5" i="25"/>
  <c r="D9" i="14"/>
  <c r="D19" i="17"/>
  <c r="D11" i="17"/>
  <c r="D3" i="17"/>
  <c r="D10" i="20"/>
  <c r="D2" i="23"/>
  <c r="D3" i="23"/>
  <c r="D4" i="26"/>
  <c r="D10" i="12"/>
  <c r="D20" i="15"/>
  <c r="D12" i="15"/>
  <c r="D4" i="15"/>
  <c r="D11" i="5"/>
  <c r="D3" i="5"/>
  <c r="D4" i="21"/>
  <c r="D5" i="24"/>
  <c r="D9" i="13"/>
  <c r="D19" i="16"/>
  <c r="D11" i="16"/>
  <c r="D3" i="16"/>
  <c r="D10" i="19"/>
  <c r="D2" i="22"/>
  <c r="D3" i="22"/>
  <c r="D4" i="25"/>
  <c r="D8" i="14"/>
  <c r="D18" i="17"/>
  <c r="D10" i="17"/>
  <c r="D2" i="20"/>
  <c r="D9" i="20"/>
  <c r="D10" i="23"/>
  <c r="D2" i="26"/>
  <c r="D3" i="26"/>
  <c r="E7" i="25" a="1"/>
  <c r="D5" i="3"/>
  <c r="D16" i="4"/>
  <c r="D8" i="4"/>
  <c r="D15" i="18"/>
  <c r="D7" i="18"/>
  <c r="D8" i="6"/>
  <c r="D9" i="7"/>
  <c r="D7" i="38"/>
  <c r="D7" i="40"/>
  <c r="D13" i="3"/>
  <c r="D4" i="3"/>
  <c r="D15" i="4"/>
  <c r="D7" i="4"/>
  <c r="D14" i="18"/>
  <c r="D6" i="18"/>
  <c r="D7" i="6"/>
  <c r="D8" i="7"/>
  <c r="D6" i="36"/>
  <c r="D8" i="36"/>
  <c r="D8" i="38"/>
  <c r="D8" i="40"/>
  <c r="D12" i="3"/>
  <c r="D3" i="3"/>
  <c r="D14" i="4"/>
  <c r="D6" i="4"/>
  <c r="D13" i="18"/>
  <c r="D5" i="18"/>
  <c r="D6" i="6"/>
  <c r="D7" i="7"/>
  <c r="D7" i="36"/>
  <c r="D11" i="3"/>
  <c r="D2" i="3"/>
  <c r="D13" i="4"/>
  <c r="D5" i="4"/>
  <c r="D12" i="18"/>
  <c r="D4" i="18"/>
  <c r="D5" i="6"/>
  <c r="D6" i="7"/>
  <c r="D6" i="37"/>
  <c r="D6" i="39"/>
  <c r="D6" i="41"/>
  <c r="D10" i="3"/>
  <c r="D20" i="4"/>
  <c r="D12" i="4"/>
  <c r="D4" i="4"/>
  <c r="D11" i="18"/>
  <c r="D3" i="18"/>
  <c r="D4" i="6"/>
  <c r="D5" i="7"/>
  <c r="D7" i="37"/>
  <c r="D7" i="39"/>
  <c r="D7" i="41"/>
  <c r="D9" i="3"/>
  <c r="D19" i="4"/>
  <c r="D11" i="4"/>
  <c r="D3" i="4"/>
  <c r="D10" i="18"/>
  <c r="D2" i="18"/>
  <c r="D3" i="6"/>
  <c r="D4" i="7"/>
  <c r="D8" i="37"/>
  <c r="D8" i="39"/>
  <c r="D8" i="41"/>
  <c r="D8" i="3"/>
  <c r="D18" i="4"/>
  <c r="D10" i="4"/>
  <c r="D2" i="4"/>
  <c r="D9" i="18"/>
  <c r="D10" i="6"/>
  <c r="D2" i="6"/>
  <c r="D3" i="7"/>
  <c r="D6" i="3"/>
  <c r="D17" i="4"/>
  <c r="D9" i="4"/>
  <c r="D16" i="18"/>
  <c r="D8" i="18"/>
  <c r="D9" i="6"/>
  <c r="D10" i="7"/>
  <c r="D2" i="7"/>
  <c r="D4" i="1"/>
  <c r="D3" i="30"/>
  <c r="D2" i="31"/>
  <c r="D3" i="1"/>
  <c r="D2" i="30"/>
  <c r="D9" i="29"/>
  <c r="D2" i="1"/>
  <c r="D9" i="31"/>
  <c r="D8" i="29"/>
  <c r="D9" i="30"/>
  <c r="D8" i="31"/>
  <c r="D7" i="29"/>
  <c r="D9" i="1"/>
  <c r="D8" i="30"/>
  <c r="D7" i="31"/>
  <c r="D5" i="29"/>
  <c r="D8" i="1"/>
  <c r="D7" i="30"/>
  <c r="D5" i="31"/>
  <c r="D4" i="29"/>
  <c r="D7" i="1"/>
  <c r="D5" i="30"/>
  <c r="D4" i="31"/>
  <c r="D3" i="29"/>
  <c r="E4" i="30" a="1"/>
  <c r="E7" i="26" a="1"/>
  <c r="E7" i="29" a="1"/>
  <c r="E15" i="16" a="1"/>
  <c r="E8" i="22" a="1"/>
  <c r="E2" i="25" a="1"/>
  <c r="E13" i="13" a="1"/>
  <c r="E4" i="16" a="1"/>
  <c r="E7" i="23" a="1"/>
  <c r="E4" i="26" a="1"/>
  <c r="E12" i="13" a="1"/>
  <c r="E2" i="16" a="1"/>
  <c r="E4" i="13" a="1"/>
  <c r="E17" i="17" a="1"/>
  <c r="E13" i="14" a="1"/>
  <c r="E10" i="17" a="1"/>
  <c r="E8" i="14" a="1"/>
  <c r="E9" i="19" a="1"/>
  <c r="E5" i="14" a="1"/>
  <c r="E14" i="20" a="1"/>
  <c r="E16" i="15" a="1"/>
  <c r="E9" i="29" a="1"/>
  <c r="E16" i="16" a="1"/>
  <c r="E7" i="20" a="1"/>
  <c r="E4" i="31" a="1"/>
  <c r="E3" i="29" a="1"/>
  <c r="E6" i="13" a="1"/>
  <c r="E10" i="14" a="1"/>
  <c r="E18" i="16" a="1"/>
  <c r="E8" i="16" a="1"/>
  <c r="E18" i="17" a="1"/>
  <c r="E5" i="17" a="1"/>
  <c r="E11" i="19" a="1"/>
  <c r="E16" i="20" a="1"/>
  <c r="E9" i="20" a="1"/>
  <c r="E2" i="20" a="1"/>
  <c r="E9" i="23" a="1"/>
  <c r="E6" i="25" a="1"/>
  <c r="E6" i="26" a="1"/>
  <c r="E3" i="31" a="1"/>
  <c r="E2" i="29" a="1"/>
  <c r="E5" i="13" a="1"/>
  <c r="E9" i="14" a="1"/>
  <c r="E17" i="16" a="1"/>
  <c r="E5" i="16" a="1"/>
  <c r="E11" i="17" a="1"/>
  <c r="E4" i="17" a="1"/>
  <c r="E10" i="19" a="1"/>
  <c r="E15" i="20" a="1"/>
  <c r="E8" i="20" a="1"/>
  <c r="E9" i="22" a="1"/>
  <c r="E8" i="23" a="1"/>
  <c r="E3" i="25" a="1"/>
  <c r="E5" i="26" a="1"/>
  <c r="E3" i="15" a="1"/>
  <c r="E8" i="29" a="1"/>
  <c r="E3" i="13" a="1"/>
  <c r="E6" i="14" a="1"/>
  <c r="E3" i="16" a="1"/>
  <c r="E16" i="17" a="1"/>
  <c r="E9" i="17" a="1"/>
  <c r="E3" i="17" a="1"/>
  <c r="E8" i="19" a="1"/>
  <c r="E13" i="20" a="1"/>
  <c r="E6" i="20" a="1"/>
  <c r="E7" i="22" a="1"/>
  <c r="E6" i="23" a="1"/>
  <c r="E10" i="26" a="1"/>
  <c r="E3" i="26" a="1"/>
  <c r="E15" i="17" a="1"/>
  <c r="E8" i="17" a="1"/>
  <c r="E2" i="17" a="1"/>
  <c r="E4" i="19" a="1"/>
  <c r="E12" i="20" a="1"/>
  <c r="E5" i="20" a="1"/>
  <c r="E6" i="22" a="1"/>
  <c r="E5" i="23" a="1"/>
  <c r="E9" i="26" a="1"/>
  <c r="E2" i="26" a="1"/>
  <c r="E7" i="31" a="1"/>
  <c r="E11" i="13" a="1"/>
  <c r="E4" i="14" a="1"/>
  <c r="E11" i="16" a="1"/>
  <c r="E20" i="17" a="1"/>
  <c r="E14" i="17" a="1"/>
  <c r="E7" i="17" a="1"/>
  <c r="E16" i="19" a="1"/>
  <c r="E4" i="20" a="1"/>
  <c r="E3" i="22" a="1"/>
  <c r="E4" i="23" a="1"/>
  <c r="E8" i="26" a="1"/>
  <c r="E5" i="31" a="1"/>
  <c r="E5" i="29" a="1"/>
  <c r="E10" i="13" a="1"/>
  <c r="E12" i="14" a="1"/>
  <c r="E3" i="14" a="1"/>
  <c r="E10" i="16" a="1"/>
  <c r="E13" i="17" a="1"/>
  <c r="E6" i="17" a="1"/>
  <c r="E15" i="19" a="1"/>
  <c r="E3" i="19" a="1"/>
  <c r="E11" i="20" a="1"/>
  <c r="E2" i="22" a="1"/>
  <c r="E3" i="23" a="1"/>
  <c r="E4" i="29" a="1"/>
  <c r="E8" i="13" a="1"/>
  <c r="E11" i="14" a="1"/>
  <c r="E2" i="14" a="1"/>
  <c r="E9" i="16" a="1"/>
  <c r="E19" i="17" a="1"/>
  <c r="E12" i="17" a="1"/>
  <c r="E14" i="19" a="1"/>
  <c r="E2" i="19" a="1"/>
  <c r="E10" i="20" a="1"/>
  <c r="E3" i="20" a="1"/>
  <c r="E10" i="23" a="1"/>
  <c r="E2" i="23" a="1"/>
  <c r="E10" i="25" a="1"/>
  <c r="E5" i="25" a="1"/>
  <c r="E4" i="25" a="1"/>
  <c r="E20" i="16" a="1"/>
  <c r="E14" i="16" a="1"/>
  <c r="E13" i="19" a="1"/>
  <c r="E7" i="19" a="1"/>
  <c r="E5" i="22" a="1"/>
  <c r="E9" i="25" a="1"/>
  <c r="E9" i="31" a="1"/>
  <c r="E2" i="31" a="1"/>
  <c r="E9" i="13" a="1"/>
  <c r="E2" i="13" a="1"/>
  <c r="E13" i="16" a="1"/>
  <c r="E7" i="16" a="1"/>
  <c r="E12" i="19" a="1"/>
  <c r="E6" i="19" a="1"/>
  <c r="E4" i="22" a="1"/>
  <c r="E8" i="25" a="1"/>
  <c r="E8" i="31" a="1"/>
  <c r="E19" i="16" a="1"/>
  <c r="E12" i="16" a="1"/>
  <c r="E6" i="16" a="1"/>
  <c r="E5" i="19" a="1"/>
  <c r="E10" i="22" a="1"/>
  <c r="E9" i="12" a="1"/>
  <c r="E10" i="12" a="1"/>
  <c r="E2" i="12" a="1"/>
  <c r="E17" i="15" a="1"/>
  <c r="E10" i="15" a="1"/>
  <c r="E4" i="15" a="1"/>
  <c r="E14" i="5" a="1"/>
  <c r="E9" i="21" a="1"/>
  <c r="E3" i="21" a="1"/>
  <c r="E4" i="24" a="1"/>
  <c r="E13" i="5" a="1"/>
  <c r="E7" i="5" a="1"/>
  <c r="E2" i="21" a="1"/>
  <c r="E10" i="24" a="1"/>
  <c r="E8" i="12" a="1"/>
  <c r="E15" i="15" a="1"/>
  <c r="E9" i="15" a="1"/>
  <c r="E2" i="15" a="1"/>
  <c r="E12" i="5" a="1"/>
  <c r="E6" i="5" a="1"/>
  <c r="E8" i="21" a="1"/>
  <c r="E9" i="24" a="1"/>
  <c r="E3" i="24" a="1"/>
  <c r="E6" i="12" a="1"/>
  <c r="E14" i="15" a="1"/>
  <c r="E8" i="15" a="1"/>
  <c r="E5" i="5" a="1"/>
  <c r="E7" i="21" a="1"/>
  <c r="E8" i="24" a="1"/>
  <c r="E2" i="24" a="1"/>
  <c r="E2" i="30" a="1"/>
  <c r="E13" i="12" a="1"/>
  <c r="E20" i="15" a="1"/>
  <c r="E7" i="15" a="1"/>
  <c r="E11" i="5" a="1"/>
  <c r="E4" i="5" a="1"/>
  <c r="E6" i="21" a="1"/>
  <c r="E12" i="12" a="1"/>
  <c r="E5" i="12" a="1"/>
  <c r="E19" i="15" a="1"/>
  <c r="E13" i="15" a="1"/>
  <c r="E6" i="15" a="1"/>
  <c r="E16" i="5" a="1"/>
  <c r="E10" i="5" a="1"/>
  <c r="E5" i="21" a="1"/>
  <c r="E7" i="24" a="1"/>
  <c r="E11" i="12" a="1"/>
  <c r="E4" i="12" a="1"/>
  <c r="E18" i="15" a="1"/>
  <c r="E12" i="15" a="1"/>
  <c r="E9" i="5" a="1"/>
  <c r="E3" i="5" a="1"/>
  <c r="E6" i="24" a="1"/>
  <c r="E3" i="12" a="1"/>
  <c r="E11" i="15" a="1"/>
  <c r="E5" i="15" a="1"/>
  <c r="E15" i="5" a="1"/>
  <c r="E8" i="5" a="1"/>
  <c r="E2" i="5" a="1"/>
  <c r="E10" i="21" a="1"/>
  <c r="E4" i="21" a="1"/>
  <c r="E5" i="24" a="1"/>
  <c r="E3" i="30" a="1"/>
  <c r="E9" i="30" a="1"/>
  <c r="E8" i="30" a="1"/>
  <c r="E5" i="30" a="1"/>
  <c r="E7" i="30" a="1"/>
  <c r="E12" i="2" l="1" a="1"/>
  <c r="E6" i="31" a="1"/>
  <c r="E11" i="2" a="1"/>
  <c r="E9" i="2" a="1"/>
  <c r="E10" i="4" a="1"/>
  <c r="E6" i="30" a="1"/>
  <c r="E12" i="32" a="1"/>
  <c r="E40" i="81" a="1"/>
  <c r="E40" i="80" a="1"/>
  <c r="E40" i="82" a="1"/>
  <c r="E40" i="79" a="1"/>
  <c r="D11" i="32"/>
  <c r="D9" i="32"/>
  <c r="E6" i="29" a="1"/>
  <c r="E6" i="1" a="1"/>
  <c r="E56" i="82" a="1"/>
  <c r="E53" i="82" a="1"/>
  <c r="E50" i="82" a="1"/>
  <c r="E47" i="82" a="1"/>
  <c r="E44" i="82" a="1"/>
  <c r="E41" i="82" a="1"/>
  <c r="E37" i="82" a="1"/>
  <c r="E34" i="82" a="1"/>
  <c r="E31" i="82" a="1"/>
  <c r="E28" i="82" a="1"/>
  <c r="E18" i="82" a="1"/>
  <c r="E15" i="82" a="1"/>
  <c r="E12" i="82" a="1"/>
  <c r="E9" i="82" a="1"/>
  <c r="E6" i="82" a="1"/>
  <c r="E24" i="82" a="1"/>
  <c r="E21" i="82" a="1"/>
  <c r="E19" i="82" a="1"/>
  <c r="E2" i="82" a="1"/>
  <c r="E54" i="82" a="1"/>
  <c r="E51" i="82" a="1"/>
  <c r="E48" i="82" a="1"/>
  <c r="E45" i="82" a="1"/>
  <c r="E42" i="82" a="1"/>
  <c r="E38" i="82" a="1"/>
  <c r="E35" i="82" a="1"/>
  <c r="E32" i="82" a="1"/>
  <c r="E29" i="82" a="1"/>
  <c r="E26" i="82" a="1"/>
  <c r="E16" i="82" a="1"/>
  <c r="E13" i="82" a="1"/>
  <c r="E10" i="82" a="1"/>
  <c r="E7" i="82" a="1"/>
  <c r="E25" i="82" a="1"/>
  <c r="E22" i="82" a="1"/>
  <c r="E3" i="82" a="1"/>
  <c r="E18" i="87" a="1"/>
  <c r="E15" i="87" a="1"/>
  <c r="E12" i="87" a="1"/>
  <c r="E9" i="87" a="1"/>
  <c r="E6" i="87" a="1"/>
  <c r="E3" i="87" a="1"/>
  <c r="E16" i="83" a="1"/>
  <c r="E5" i="83" a="1"/>
  <c r="E17" i="87" a="1"/>
  <c r="E14" i="87" a="1"/>
  <c r="E11" i="87" a="1"/>
  <c r="E8" i="87" a="1"/>
  <c r="E5" i="87" a="1"/>
  <c r="E2" i="87" a="1"/>
  <c r="E17" i="83" a="1"/>
  <c r="E6" i="83" a="1"/>
  <c r="E10" i="83" a="1"/>
  <c r="E19" i="87" a="1"/>
  <c r="E16" i="87" a="1"/>
  <c r="E13" i="87" a="1"/>
  <c r="E10" i="87" a="1"/>
  <c r="E7" i="87" a="1"/>
  <c r="E4" i="87" a="1"/>
  <c r="E15" i="83" a="1"/>
  <c r="E13" i="83" a="1"/>
  <c r="E7" i="83" a="1"/>
  <c r="E19" i="83" a="1"/>
  <c r="E2" i="83" a="1"/>
  <c r="E8" i="83" a="1"/>
  <c r="E12" i="83" a="1"/>
  <c r="E4" i="83" a="1"/>
  <c r="E11" i="83" a="1"/>
  <c r="E18" i="83" a="1"/>
  <c r="E3" i="79" a="1"/>
  <c r="E44" i="79" a="1"/>
  <c r="E4" i="79" a="1"/>
  <c r="E23" i="79" a="1"/>
  <c r="E7" i="79" a="1"/>
  <c r="E10" i="79" a="1"/>
  <c r="E12" i="79" a="1"/>
  <c r="E15" i="79" a="1"/>
  <c r="E18" i="79" a="1"/>
  <c r="E27" i="79" a="1"/>
  <c r="E30" i="79" a="1"/>
  <c r="E33" i="79" a="1"/>
  <c r="E36" i="79" a="1"/>
  <c r="E39" i="79" a="1"/>
  <c r="E48" i="79" a="1"/>
  <c r="E51" i="79" a="1"/>
  <c r="E54" i="79" a="1"/>
  <c r="E42" i="79" a="1"/>
  <c r="E45" i="79" a="1"/>
  <c r="E21" i="79" a="1"/>
  <c r="E22" i="79" a="1"/>
  <c r="E5" i="79" a="1"/>
  <c r="E8" i="79" a="1"/>
  <c r="E11" i="79" a="1"/>
  <c r="E13" i="79" a="1"/>
  <c r="E16" i="79" a="1"/>
  <c r="E41" i="79" a="1"/>
  <c r="E28" i="79" a="1"/>
  <c r="E31" i="79" a="1"/>
  <c r="E34" i="79" a="1"/>
  <c r="E37" i="79" a="1"/>
  <c r="E46" i="79" a="1"/>
  <c r="E49" i="79" a="1"/>
  <c r="E52" i="79" a="1"/>
  <c r="E55" i="79" a="1"/>
  <c r="E3" i="83" a="1"/>
  <c r="E9" i="83" a="1"/>
  <c r="E2" i="79" a="1"/>
  <c r="E43" i="79" a="1"/>
  <c r="E19" i="79" a="1"/>
  <c r="E24" i="79" a="1"/>
  <c r="E25" i="79" a="1"/>
  <c r="E6" i="79" a="1"/>
  <c r="E9" i="79" a="1"/>
  <c r="E20" i="79" a="1"/>
  <c r="E14" i="79" a="1"/>
  <c r="E17" i="79" a="1"/>
  <c r="E26" i="79" a="1"/>
  <c r="E29" i="79" a="1"/>
  <c r="E32" i="79" a="1"/>
  <c r="E35" i="79" a="1"/>
  <c r="E38" i="79" a="1"/>
  <c r="E47" i="79" a="1"/>
  <c r="E50" i="79" a="1"/>
  <c r="E53" i="79" a="1"/>
  <c r="E56" i="79" a="1"/>
  <c r="D2" i="2"/>
  <c r="D5" i="2"/>
  <c r="D13" i="34"/>
  <c r="D13" i="33"/>
  <c r="E13" i="34" a="1"/>
  <c r="E13" i="33" a="1"/>
  <c r="D3" i="33"/>
  <c r="D10" i="33"/>
  <c r="D12" i="33"/>
  <c r="D2" i="33"/>
  <c r="D9" i="33"/>
  <c r="D6" i="33"/>
  <c r="D4" i="34"/>
  <c r="D8" i="33"/>
  <c r="D11" i="33"/>
  <c r="D7" i="33"/>
  <c r="D4" i="33"/>
  <c r="D7" i="34"/>
  <c r="D8" i="34"/>
  <c r="D9" i="34"/>
  <c r="D10" i="34"/>
  <c r="D3" i="34"/>
  <c r="D5" i="33"/>
  <c r="D6" i="34"/>
  <c r="D2" i="34"/>
  <c r="D11" i="34"/>
  <c r="D5" i="34"/>
  <c r="D2" i="32"/>
  <c r="D10" i="32"/>
  <c r="D6" i="32"/>
  <c r="D7" i="32"/>
  <c r="D8" i="32"/>
  <c r="D4" i="32"/>
  <c r="D12" i="32"/>
  <c r="D3" i="32"/>
  <c r="D5" i="32"/>
  <c r="D12" i="34"/>
  <c r="D11" i="2"/>
  <c r="D10" i="2"/>
  <c r="D6" i="2"/>
  <c r="D9" i="2"/>
  <c r="D7" i="2"/>
  <c r="D8" i="2"/>
  <c r="E10" i="6" a="1"/>
  <c r="D4" i="2"/>
  <c r="D3" i="2"/>
  <c r="D12" i="2"/>
  <c r="E8" i="18" a="1"/>
  <c r="E2" i="18" a="1"/>
  <c r="E16" i="18" a="1"/>
  <c r="E2" i="7" a="1"/>
  <c r="E13" i="18" a="1"/>
  <c r="E3" i="4" a="1"/>
  <c r="E12" i="3" a="1"/>
  <c r="E6" i="7" a="1"/>
  <c r="E9" i="4" a="1"/>
  <c r="E8" i="3" a="1"/>
  <c r="E2" i="1" a="1"/>
  <c r="E9" i="6" a="1"/>
  <c r="E4" i="4" a="1"/>
  <c r="E12" i="18" a="1"/>
  <c r="E15" i="18" a="1"/>
  <c r="E3" i="7" a="1"/>
  <c r="E6" i="3" a="1"/>
  <c r="E3" i="3" a="1"/>
  <c r="E11" i="18" a="1"/>
  <c r="E7" i="7" a="1"/>
  <c r="E5" i="1" a="1"/>
  <c r="E7" i="4" a="1"/>
  <c r="E9" i="3" a="1"/>
  <c r="E18" i="4" a="1"/>
  <c r="E11" i="4" a="1"/>
  <c r="E14" i="18" a="1"/>
  <c r="E7" i="6" a="1"/>
  <c r="E2" i="6" a="1"/>
  <c r="E7" i="1" a="1"/>
  <c r="E17" i="4" a="1"/>
  <c r="E6" i="18" a="1"/>
  <c r="E5" i="7" a="1"/>
  <c r="E2" i="4" a="1"/>
  <c r="E5" i="6" a="1"/>
  <c r="E5" i="18" a="1"/>
  <c r="E5" i="3" a="1"/>
  <c r="E12" i="4" a="1"/>
  <c r="E6" i="4" a="1"/>
  <c r="E4" i="1" a="1"/>
  <c r="E13" i="4" a="1"/>
  <c r="E15" i="4" a="1"/>
  <c r="E3" i="18" a="1"/>
  <c r="E9" i="7" a="1"/>
  <c r="E8" i="1" a="1"/>
  <c r="E10" i="3" a="1"/>
  <c r="E19" i="4" a="1"/>
  <c r="E6" i="6" a="1"/>
  <c r="E4" i="6" a="1"/>
  <c r="E16" i="4" a="1"/>
  <c r="E8" i="7" a="1"/>
  <c r="E10" i="7" a="1"/>
  <c r="E13" i="3" a="1"/>
  <c r="E3" i="6" a="1"/>
  <c r="E8" i="6" a="1"/>
  <c r="E4" i="3" a="1"/>
  <c r="E14" i="4" a="1"/>
  <c r="E2" i="3" a="1"/>
  <c r="E4" i="7" a="1"/>
  <c r="E3" i="1" a="1"/>
  <c r="E9" i="18" a="1"/>
  <c r="E10" i="18" a="1"/>
  <c r="E4" i="18" a="1"/>
  <c r="E20" i="4" a="1"/>
  <c r="E7" i="18" a="1"/>
  <c r="E8" i="4" a="1"/>
  <c r="E12" i="34" a="1"/>
  <c r="E8" i="34" a="1"/>
  <c r="E9" i="1" a="1"/>
  <c r="E11" i="3" a="1"/>
  <c r="E5" i="4" a="1"/>
  <c r="E6" i="33" a="1"/>
  <c r="E5" i="34" a="1"/>
  <c r="E9" i="34" a="1"/>
  <c r="E7" i="34" a="1"/>
  <c r="E11" i="34" a="1"/>
  <c r="E6" i="34" a="1"/>
  <c r="E7" i="33" a="1"/>
  <c r="E4" i="33" a="1"/>
  <c r="E12" i="33" a="1"/>
  <c r="E2" i="34" a="1"/>
  <c r="E3" i="34" a="1"/>
  <c r="E10" i="34" a="1"/>
  <c r="E4" i="34" a="1"/>
  <c r="E12" i="35" l="1" a="1"/>
  <c r="E9" i="35" a="1"/>
  <c r="E11" i="35" a="1"/>
  <c r="E8" i="35" a="1"/>
  <c r="E10" i="35" a="1"/>
  <c r="E18" i="35" a="1"/>
  <c r="E17" i="35" a="1"/>
  <c r="E16" i="35" a="1"/>
  <c r="E15" i="35" a="1"/>
  <c r="E13" i="35" a="1"/>
  <c r="E7" i="35" a="1"/>
  <c r="E6" i="35" a="1"/>
  <c r="E5" i="35" a="1"/>
  <c r="E4" i="35" a="1"/>
  <c r="E3" i="35" a="1"/>
  <c r="E2" i="35" a="1"/>
  <c r="E19" i="35" a="1"/>
  <c r="E14" i="35" a="1"/>
  <c r="E10" i="32" a="1"/>
  <c r="E8" i="32" a="1"/>
  <c r="E7" i="32" a="1"/>
  <c r="E6" i="32" a="1"/>
  <c r="E5" i="32" a="1"/>
  <c r="E4" i="32" a="1"/>
  <c r="E3" i="32" a="1"/>
  <c r="E2" i="32" a="1"/>
  <c r="E2" i="2" a="1"/>
  <c r="E8" i="2" a="1"/>
  <c r="E7" i="2" a="1"/>
  <c r="E6" i="2" a="1"/>
  <c r="E4" i="2" a="1"/>
  <c r="E3" i="2" a="1"/>
  <c r="E10" i="2" a="1"/>
  <c r="E5" i="2" a="1"/>
  <c r="E9" i="33" a="1"/>
  <c r="E10" i="33" a="1"/>
  <c r="E11" i="33" a="1"/>
  <c r="E8" i="33" a="1"/>
  <c r="E5" i="33" a="1"/>
  <c r="E3" i="33" a="1"/>
  <c r="E2" i="33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B83C1-38BC-4E45-B5F3-FFACC2BDC893}" keepAlive="1" name="Abfrage - ANTIP_A" description="Verbindung mit der Abfrage 'ANTIP_A' in der Arbeitsmappe." type="5" refreshedVersion="8" background="1" saveData="1">
    <dbPr connection="Provider=Microsoft.Mashup.OleDb.1;Data Source=$Workbook$;Location=ANTIP_A;Extended Properties=&quot;&quot;" command="SELECT * FROM [ANTIP_A]"/>
  </connection>
  <connection id="2" xr16:uid="{532A1B14-CE2C-9E47-B185-7BAC6FB6991E}" keepAlive="1" name="Abfrage - ANTIP_B" description="Verbindung mit der Abfrage 'ANTIP_B' in der Arbeitsmappe." type="5" refreshedVersion="8" background="1" saveData="1">
    <dbPr connection="Provider=Microsoft.Mashup.OleDb.1;Data Source=$Workbook$;Location=ANTIP_B;Extended Properties=&quot;&quot;" command="SELECT * FROM [ANTIP_B]"/>
  </connection>
  <connection id="3" xr16:uid="{F48EBCCC-6F8D-594C-92C0-4AFF50E09869}" keepAlive="1" name="Abfrage - ANTIP_C" description="Verbindung mit der Abfrage 'ANTIP_C' in der Arbeitsmappe." type="5" refreshedVersion="8" background="1" saveData="1">
    <dbPr connection="Provider=Microsoft.Mashup.OleDb.1;Data Source=$Workbook$;Location=ANTIP_C;Extended Properties=&quot;&quot;" command="SELECT * FROM [ANTIP_C]"/>
  </connection>
  <connection id="4" xr16:uid="{F9536AB9-5C0F-6442-B6D5-EF272D7752D8}" keepAlive="1" name="Abfrage - ANTIP_D" description="Verbindung mit der Abfrage 'ANTIP_D' in der Arbeitsmappe." type="5" refreshedVersion="8" background="1" saveData="1">
    <dbPr connection="Provider=Microsoft.Mashup.OleDb.1;Data Source=$Workbook$;Location=ANTIP_D;Extended Properties=&quot;&quot;" command="SELECT * FROM [ANTIP_D]"/>
  </connection>
  <connection id="5" xr16:uid="{F3803368-3611-1D48-8655-5BE6C9D87918}" keepAlive="1" name="Abfrage - Daily_OPS" description="Verbindung mit der Abfrage 'Daily_OPS' in der Arbeitsmappe." type="5" refreshedVersion="8" background="1" saveData="1">
    <dbPr connection="Provider=Microsoft.Mashup.OleDb.1;Data Source=$Workbook$;Location=Daily_OPS;Extended Properties=&quot;&quot;" command="SELECT * FROM [Daily_OPS]"/>
  </connection>
  <connection id="6" xr16:uid="{7DC807B0-C7A7-044E-8BE1-3FFB01292526}" keepAlive="1" name="Abfrage - DATATAIN_A" description="Verbindung mit der Abfrage 'DATATAIN_A' in der Arbeitsmappe." type="5" refreshedVersion="8" background="1" saveData="1">
    <dbPr connection="Provider=Microsoft.Mashup.OleDb.1;Data Source=$Workbook$;Location=DATATAIN_A;Extended Properties=&quot;&quot;" command="SELECT * FROM [DATATAIN_A]"/>
  </connection>
  <connection id="7" xr16:uid="{D716AA7D-0AD1-BC43-AEF2-CE27A3D84BEF}" keepAlive="1" name="Abfrage - DATATAIN_B" description="Verbindung mit der Abfrage 'DATATAIN_B' in der Arbeitsmappe." type="5" refreshedVersion="8" background="1" saveData="1">
    <dbPr connection="Provider=Microsoft.Mashup.OleDb.1;Data Source=$Workbook$;Location=DATATAIN_B;Extended Properties=&quot;&quot;" command="SELECT * FROM [DATATAIN_B]"/>
  </connection>
  <connection id="8" xr16:uid="{EBB66C72-A41B-2A49-9622-ED254DE0FB14}" keepAlive="1" name="Abfrage - DATATAIN_C" description="Verbindung mit der Abfrage 'DATATAIN_C' in der Arbeitsmappe." type="5" refreshedVersion="8" background="1" saveData="1">
    <dbPr connection="Provider=Microsoft.Mashup.OleDb.1;Data Source=$Workbook$;Location=DATATAIN_C;Extended Properties=&quot;&quot;" command="SELECT * FROM [DATATAIN_C]"/>
  </connection>
  <connection id="9" xr16:uid="{D02915C4-4A8C-F14F-B2BD-F6326E60A4D5}" keepAlive="1" name="Abfrage - DATATAIN_D" description="Verbindung mit der Abfrage 'DATATAIN_D' in der Arbeitsmappe." type="5" refreshedVersion="8" background="1" saveData="1">
    <dbPr connection="Provider=Microsoft.Mashup.OleDb.1;Data Source=$Workbook$;Location=DATATAIN_D;Extended Properties=&quot;&quot;" command="SELECT * FROM [DATATAIN_D]"/>
  </connection>
  <connection id="10" xr16:uid="{68257250-BA84-4444-841A-C4623FDB0323}" keepAlive="1" name="Abfrage - DCL_1" description="Verbindung mit der Abfrage 'DCL_1' in der Arbeitsmappe." type="5" refreshedVersion="8" background="1" saveData="1">
    <dbPr connection="Provider=Microsoft.Mashup.OleDb.1;Data Source=$Workbook$;Location=DCL_1;Extended Properties=&quot;&quot;" command="SELECT * FROM [DCL_1]"/>
  </connection>
  <connection id="11" xr16:uid="{5FD9FBF6-5951-5E42-BC08-17C974FEC993}" keepAlive="1" name="Abfrage - DCL_2" description="Verbindung mit der Abfrage 'DCL_2' in der Arbeitsmappe." type="5" refreshedVersion="8" background="1" saveData="1">
    <dbPr connection="Provider=Microsoft.Mashup.OleDb.1;Data Source=$Workbook$;Location=DCL_2;Extended Properties=&quot;&quot;" command="SELECT * FROM [DCL_2]"/>
  </connection>
  <connection id="12" xr16:uid="{200B436A-1CA0-A448-928D-D87BCCC3AB3C}" keepAlive="1" name="Abfrage - DCL_3" description="Verbindung mit der Abfrage 'DCL_3' in der Arbeitsmappe." type="5" refreshedVersion="8" background="1" saveData="1">
    <dbPr connection="Provider=Microsoft.Mashup.OleDb.1;Data Source=$Workbook$;Location=DCL_3;Extended Properties=&quot;&quot;" command="SELECT * FROM [DCL_3]"/>
  </connection>
  <connection id="13" xr16:uid="{1B46C2E0-E6AC-9F49-8F55-4F7AA26519EE}" keepAlive="1" name="Abfrage - DCL_4" description="Verbindung mit der Abfrage 'DCL_4' in der Arbeitsmappe." type="5" refreshedVersion="8" background="1" saveData="1">
    <dbPr connection="Provider=Microsoft.Mashup.OleDb.1;Data Source=$Workbook$;Location=DCL_4;Extended Properties=&quot;&quot;" command="SELECT * FROM [DCL_4]"/>
  </connection>
  <connection id="14" xr16:uid="{0DE91AD2-7E03-554C-8646-BF0886BA6E8B}" keepAlive="1" name="Abfrage - DCL_5" description="Verbindung mit der Abfrage 'DCL_5' in der Arbeitsmappe." type="5" refreshedVersion="8" background="1" saveData="1">
    <dbPr connection="Provider=Microsoft.Mashup.OleDb.1;Data Source=$Workbook$;Location=DCL_5;Extended Properties=&quot;&quot;" command="SELECT * FROM [DCL_5]"/>
  </connection>
  <connection id="15" xr16:uid="{351BEFDD-1B28-044F-85FA-6686CEC9623E}" keepAlive="1" name="Abfrage - FCO_A" description="Verbindung mit der Abfrage 'FCO_A' in der Arbeitsmappe." type="5" refreshedVersion="8" background="1" saveData="1">
    <dbPr connection="Provider=Microsoft.Mashup.OleDb.1;Data Source=$Workbook$;Location=FCO_A;Extended Properties=&quot;&quot;" command="SELECT * FROM [FCO_A]"/>
  </connection>
  <connection id="16" xr16:uid="{2229461F-C94A-1D42-AAD9-D7DEC8CD5831}" keepAlive="1" name="Abfrage - FCO_B" description="Verbindung mit der Abfrage 'FCO_B' in der Arbeitsmappe." type="5" refreshedVersion="8" background="1" saveData="1">
    <dbPr connection="Provider=Microsoft.Mashup.OleDb.1;Data Source=$Workbook$;Location=FCO_B;Extended Properties=&quot;&quot;" command="SELECT * FROM [FCO_B]"/>
  </connection>
  <connection id="17" xr16:uid="{5C25F118-4674-4C41-BEE7-3B759540E173}" keepAlive="1" name="Abfrage - FCO_C" description="Verbindung mit der Abfrage 'FCO_C' in der Arbeitsmappe." type="5" refreshedVersion="8" background="1" saveData="1">
    <dbPr connection="Provider=Microsoft.Mashup.OleDb.1;Data Source=$Workbook$;Location=FCO_C;Extended Properties=&quot;&quot;" command="SELECT * FROM [FCO_C]"/>
  </connection>
  <connection id="18" xr16:uid="{94D6C975-1A99-6F4E-907D-7F8E05B05C79}" keepAlive="1" name="Abfrage - FCO_D" description="Verbindung mit der Abfrage 'FCO_D' in der Arbeitsmappe." type="5" refreshedVersion="8" background="1" saveData="1">
    <dbPr connection="Provider=Microsoft.Mashup.OleDb.1;Data Source=$Workbook$;Location=FCO_D;Extended Properties=&quot;&quot;" command="SELECT * FROM [FCO_D]"/>
  </connection>
  <connection id="19" xr16:uid="{F4C28F0A-760E-394A-A629-5C3F0FD2C527}" keepAlive="1" name="Abfrage - GENERAL_A" description="Verbindung mit der Abfrage 'GENERAL_A' in der Arbeitsmappe." type="5" refreshedVersion="0" background="1">
    <dbPr connection="Provider=Microsoft.Mashup.OleDb.1;Data Source=$Workbook$;Location=GENERAL_A;Extended Properties=&quot;&quot;" command="SELECT * FROM [GENERAL_A]"/>
  </connection>
  <connection id="20" xr16:uid="{8CA93575-6ED6-2042-A4B5-C7602CB055DD}" keepAlive="1" name="Abfrage - GENERAL_B" description="Verbindung mit der Abfrage 'GENERAL_B' in der Arbeitsmappe." type="5" refreshedVersion="0" background="1">
    <dbPr connection="Provider=Microsoft.Mashup.OleDb.1;Data Source=$Workbook$;Location=GENERAL_B;Extended Properties=&quot;&quot;" command="SELECT * FROM [GENERAL_B]"/>
  </connection>
  <connection id="21" xr16:uid="{BC75742F-CECD-CE43-8E3A-0C93C6910249}" keepAlive="1" name="Abfrage - GENERAL_C" description="Verbindung mit der Abfrage 'GENERAL_C' in der Arbeitsmappe." type="5" refreshedVersion="8" background="1" saveData="1">
    <dbPr connection="Provider=Microsoft.Mashup.OleDb.1;Data Source=$Workbook$;Location=GENERAL_C;Extended Properties=&quot;&quot;" command="SELECT * FROM [GENERAL_C]"/>
  </connection>
  <connection id="22" xr16:uid="{C01115B7-500F-7741-B3C1-FD74AD92BA45}" keepAlive="1" name="Abfrage - GENERAL_D" description="Verbindung mit der Abfrage 'GENERAL_D' in der Arbeitsmappe." type="5" refreshedVersion="8" background="1" saveData="1">
    <dbPr connection="Provider=Microsoft.Mashup.OleDb.1;Data Source=$Workbook$;Location=GENERAL_D;Extended Properties=&quot;&quot;" command="SELECT * FROM [GENERAL_D]"/>
  </connection>
  <connection id="23" xr16:uid="{D2A080CA-6003-DE43-9408-43D757157CAA}" keepAlive="1" name="Abfrage - MD1A" description="Verbindung mit der Abfrage 'MD1A' in der Arbeitsmappe." type="5" refreshedVersion="8" background="1" saveData="1">
    <dbPr connection="Provider=Microsoft.Mashup.OleDb.1;Data Source=$Workbook$;Location=MD1A;Extended Properties=&quot;&quot;" command="SELECT * FROM [MD1A]"/>
  </connection>
  <connection id="24" xr16:uid="{ECE9A4A6-A0E6-F24E-95A9-4037EC7FAE4A}" keepAlive="1" name="Abfrage - MD1B" description="Verbindung mit der Abfrage 'MD1B' in der Arbeitsmappe." type="5" refreshedVersion="8" background="1" saveData="1">
    <dbPr connection="Provider=Microsoft.Mashup.OleDb.1;Data Source=$Workbook$;Location=MD1B;Extended Properties=&quot;&quot;" command="SELECT * FROM [MD1B]"/>
  </connection>
  <connection id="25" xr16:uid="{AB41D260-3728-8042-9C03-77A2C5F153DE}" keepAlive="1" name="Abfrage - MD1C" description="Verbindung mit der Abfrage 'MD1C' in der Arbeitsmappe." type="5" refreshedVersion="8" background="1" saveData="1">
    <dbPr connection="Provider=Microsoft.Mashup.OleDb.1;Data Source=$Workbook$;Location=MD1C;Extended Properties=&quot;&quot;" command="SELECT * FROM [MD1C]"/>
  </connection>
  <connection id="26" xr16:uid="{112DDDFC-A9AD-FF45-AF91-3394049A7C16}" keepAlive="1" name="Abfrage - MD1D" description="Verbindung mit der Abfrage 'MD1D' in der Arbeitsmappe." type="5" refreshedVersion="8" background="1" saveData="1">
    <dbPr connection="Provider=Microsoft.Mashup.OleDb.1;Data Source=$Workbook$;Location=MD1D;Extended Properties=&quot;&quot;" command="SELECT * FROM [MD1D]"/>
  </connection>
  <connection id="27" xr16:uid="{AB89D4BA-463B-F44D-99E0-5970FF117290}" keepAlive="1" name="Abfrage - MD1E" description="Verbindung mit der Abfrage 'MD1E' in der Arbeitsmappe." type="5" refreshedVersion="8" background="1" saveData="1">
    <dbPr connection="Provider=Microsoft.Mashup.OleDb.1;Data Source=$Workbook$;Location=MD1E;Extended Properties=&quot;&quot;" command="SELECT * FROM [MD1E]"/>
  </connection>
  <connection id="28" xr16:uid="{30F5DC93-579E-D14D-88C9-F250F72D5A4F}" keepAlive="1" name="Abfrage - MD1F" description="Verbindung mit der Abfrage 'MD1F' in der Arbeitsmappe." type="5" refreshedVersion="8" background="1" saveData="1">
    <dbPr connection="Provider=Microsoft.Mashup.OleDb.1;Data Source=$Workbook$;Location=MD1F;Extended Properties=&quot;&quot;" command="SELECT * FROM [MD1F]"/>
  </connection>
  <connection id="29" xr16:uid="{A4067E84-3BB1-9041-9C24-3D64B8D6DE8B}" keepAlive="1" name="Abfrage - RIS_A" description="Verbindung mit der Abfrage 'RIS_A' in der Arbeitsmappe." type="5" refreshedVersion="8" background="1" saveData="1">
    <dbPr connection="Provider=Microsoft.Mashup.OleDb.1;Data Source=$Workbook$;Location=RIS_A;Extended Properties=&quot;&quot;" command="SELECT * FROM [RIS_A]"/>
  </connection>
  <connection id="30" xr16:uid="{C5FBAD36-0B52-014E-96FD-F37EC49A757C}" keepAlive="1" name="Abfrage - RIS_B" description="Verbindung mit der Abfrage 'RIS_B' in der Arbeitsmappe." type="5" refreshedVersion="8" background="1" saveData="1">
    <dbPr connection="Provider=Microsoft.Mashup.OleDb.1;Data Source=$Workbook$;Location=RIS_B;Extended Properties=&quot;&quot;" command="SELECT * FROM [RIS_B]"/>
  </connection>
  <connection id="31" xr16:uid="{7AAC828C-DFAE-9642-A76A-AF5ADF0E186D}" keepAlive="1" name="Abfrage - RIS_C" description="Verbindung mit der Abfrage 'RIS_C' in der Arbeitsmappe." type="5" refreshedVersion="8" background="1" saveData="1">
    <dbPr connection="Provider=Microsoft.Mashup.OleDb.1;Data Source=$Workbook$;Location=RIS_C;Extended Properties=&quot;&quot;" command="SELECT * FROM [RIS_C]"/>
  </connection>
  <connection id="32" xr16:uid="{F2F386F1-321D-8A41-A4EA-1FEED59C4A11}" keepAlive="1" name="Abfrage - RIS_D" description="Verbindung mit der Abfrage 'RIS_D' in der Arbeitsmappe." type="5" refreshedVersion="8" background="1" saveData="1">
    <dbPr connection="Provider=Microsoft.Mashup.OleDb.1;Data Source=$Workbook$;Location=RIS_D;Extended Properties=&quot;&quot;" command="SELECT * FROM [RIS_D]"/>
  </connection>
  <connection id="33" xr16:uid="{A9ADE8D6-D164-E44F-AC5E-5ED8D26C9FFE}" keepAlive="1" name="Abfrage - WSC_A" description="Verbindung mit der Abfrage 'WSC_A' in der Arbeitsmappe." type="5" refreshedVersion="8" background="1" saveData="1">
    <dbPr connection="Provider=Microsoft.Mashup.OleDb.1;Data Source=$Workbook$;Location=WSC_A;Extended Properties=&quot;&quot;" command="SELECT * FROM [WSC_A]"/>
  </connection>
  <connection id="34" xr16:uid="{5F4BD8FF-A71C-FC4E-BA04-BD8A26DC4773}" keepAlive="1" name="Abfrage - WSC_B" description="Verbindung mit der Abfrage 'WSC_B' in der Arbeitsmappe." type="5" refreshedVersion="8" background="1" saveData="1">
    <dbPr connection="Provider=Microsoft.Mashup.OleDb.1;Data Source=$Workbook$;Location=WSC_B;Extended Properties=&quot;&quot;" command="SELECT * FROM [WSC_B]"/>
  </connection>
  <connection id="35" xr16:uid="{2352E0BC-64B5-5549-A1CF-364462CD383C}" keepAlive="1" name="Abfrage - WSC_C" description="Verbindung mit der Abfrage 'WSC_C' in der Arbeitsmappe." type="5" refreshedVersion="8" background="1" saveData="1">
    <dbPr connection="Provider=Microsoft.Mashup.OleDb.1;Data Source=$Workbook$;Location=WSC_C;Extended Properties=&quot;&quot;" command="SELECT * FROM [WSC_C]"/>
  </connection>
  <connection id="36" xr16:uid="{419D8CB6-8FAA-544A-8AA6-6C93704F185A}" keepAlive="1" name="Abfrage - WSC_D" description="Verbindung mit der Abfrage 'WSC_D' in der Arbeitsmappe." type="5" refreshedVersion="8" background="1" saveData="1">
    <dbPr connection="Provider=Microsoft.Mashup.OleDb.1;Data Source=$Workbook$;Location=WSC_D;Extended Properties=&quot;&quot;" command="SELECT * FROM [WSC_D]"/>
  </connection>
  <connection id="37" xr16:uid="{4C3CDF4C-896C-4D51-9D38-AD4063531446}" keepAlive="1" name="Query - CC_A" description="Verbindung mit der Abfrage 'CC_A' in der Arbeitsmappe." type="5" refreshedVersion="0" background="1">
    <dbPr connection="Provider=Microsoft.Mashup.OleDb.1;Data Source=$Workbook$;Location=CC_A;Extended Properties=&quot;&quot;" command="SELECT * FROM [CC_A]"/>
  </connection>
  <connection id="38" xr16:uid="{F3CFC238-415C-49C9-84E6-73C6FA49BE61}" keepAlive="1" name="Query - CC_B" description="Verbindung mit der Abfrage 'CC_B' in der Arbeitsmappe." type="5" refreshedVersion="0" background="1">
    <dbPr connection="Provider=Microsoft.Mashup.OleDb.1;Data Source=$Workbook$;Location=CC_B;Extended Properties=&quot;&quot;" command="SELECT * FROM [CC_B]"/>
  </connection>
  <connection id="39" xr16:uid="{4F0C48A7-1A5F-42DA-939D-230F2C54C477}" keepAlive="1" name="Query - CC_C" description="Verbindung mit der Abfrage 'CC_C' in der Arbeitsmappe." type="5" refreshedVersion="0" background="1">
    <dbPr connection="Provider=Microsoft.Mashup.OleDb.1;Data Source=$Workbook$;Location=CC_C;Extended Properties=&quot;&quot;" command="SELECT * FROM [CC_C]"/>
  </connection>
  <connection id="40" xr16:uid="{8BF08A1A-39A4-41D6-90FD-00476002E5BE}" keepAlive="1" name="Query - CC_D" description="Verbindung mit der Abfrage 'CC_D' in der Arbeitsmappe." type="5" refreshedVersion="0" background="1">
    <dbPr connection="Provider=Microsoft.Mashup.OleDb.1;Data Source=$Workbook$;Location=CC_D;Extended Properties=&quot;&quot;" command="SELECT * FROM [CC_D]"/>
  </connection>
  <connection id="41" xr16:uid="{7149C709-B5B9-4F66-A4EC-B671A269B17B}" keepAlive="1" name="Query - MB_A" description="Verbindung mit der Abfrage 'MB_A' in der Arbeitsmappe." type="5" refreshedVersion="0" background="1">
    <dbPr connection="Provider=Microsoft.Mashup.OleDb.1;Data Source=$Workbook$;Location=MB_A;Extended Properties=&quot;&quot;" command="SELECT * FROM [MB_A]"/>
  </connection>
  <connection id="42" xr16:uid="{FCE16DED-FE22-4FE5-9844-66FBC2A0B504}" keepAlive="1" name="Query - MB_B" description="Verbindung mit der Abfrage 'MB_B' in der Arbeitsmappe." type="5" refreshedVersion="0" background="1">
    <dbPr connection="Provider=Microsoft.Mashup.OleDb.1;Data Source=$Workbook$;Location=MB_B;Extended Properties=&quot;&quot;" command="SELECT * FROM [MB_B]"/>
  </connection>
  <connection id="43" xr16:uid="{76AED9C3-BEEB-414A-8A5A-7843052C16D6}" keepAlive="1" name="Query - MB_C" description="Verbindung mit der Abfrage 'MB_C' in der Arbeitsmappe." type="5" refreshedVersion="0" background="1">
    <dbPr connection="Provider=Microsoft.Mashup.OleDb.1;Data Source=$Workbook$;Location=MB_C;Extended Properties=&quot;&quot;" command="SELECT * FROM [MB_C]"/>
  </connection>
  <connection id="44" xr16:uid="{D26A9B1E-03CF-44C1-B7B6-0C33138A07EC}" keepAlive="1" name="Query - MB_D" description="Verbindung mit der Abfrage 'MB_D' in der Arbeitsmappe." type="5" refreshedVersion="0" background="1">
    <dbPr connection="Provider=Microsoft.Mashup.OleDb.1;Data Source=$Workbook$;Location=MB_D;Extended Properties=&quot;&quot;" command="SELECT * FROM [MB_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<sst xmlns="http://schemas.openxmlformats.org/spreadsheetml/2006/main" count="5355" uniqueCount="526">
  <si>
    <t>Service ID</t>
  </si>
  <si>
    <t>Role</t>
  </si>
  <si>
    <t>Operator</t>
  </si>
  <si>
    <t>Distribution</t>
  </si>
  <si>
    <t>Match</t>
  </si>
  <si>
    <t>Time to KO</t>
  </si>
  <si>
    <t>Real IBC Time</t>
  </si>
  <si>
    <t>Task</t>
  </si>
  <si>
    <t>System UI</t>
  </si>
  <si>
    <t>MD-1 Match E</t>
  </si>
  <si>
    <t>Check that WSC outputs have the corresponding source content available </t>
  </si>
  <si>
    <t>FWC Orchestrator App </t>
  </si>
  <si>
    <t>MD-1 Match F</t>
  </si>
  <si>
    <t>Set all WSC stream to enabled on the corresponding distribution path </t>
  </si>
  <si>
    <t>Check WSC is connected to each feed </t>
  </si>
  <si>
    <t>MD-1 Match C</t>
  </si>
  <si>
    <t>CIV vs ECU</t>
  </si>
  <si>
    <t>ECU</t>
  </si>
  <si>
    <t>Start Monitoring MD-1 Training Team B</t>
  </si>
  <si>
    <t>FWC Orchestrator App</t>
  </si>
  <si>
    <t>Supervisor</t>
  </si>
  <si>
    <t>MD-1 Match A</t>
  </si>
  <si>
    <t>GER vs CUW</t>
  </si>
  <si>
    <t>Start Telstra Contribution Path MD-1 A</t>
  </si>
  <si>
    <t>GER</t>
  </si>
  <si>
    <t>Start Monitoring MD-1 Training Team A</t>
  </si>
  <si>
    <t>CUW</t>
  </si>
  <si>
    <t>MD-1 Match B</t>
  </si>
  <si>
    <t>NED vs JPN</t>
  </si>
  <si>
    <t>JPN</t>
  </si>
  <si>
    <t>Match A</t>
  </si>
  <si>
    <t>QAT vs SUI</t>
  </si>
  <si>
    <t>Setup workspace and Log in to UI</t>
  </si>
  <si>
    <t>NED</t>
  </si>
  <si>
    <t>Start Telstra Contribution Path</t>
  </si>
  <si>
    <t>Check Match Number according to your Distribution path.</t>
  </si>
  <si>
    <t xml:space="preserve">Check spreadsheet expected preset and feed composition is matching each MPs Workspace. Otherwise a manual SyncJob is needed before spinning up any resources. </t>
  </si>
  <si>
    <t>FWC Orchestrator App/Spreadsheet</t>
  </si>
  <si>
    <t xml:space="preserve">Check each MP has only the expected Template </t>
  </si>
  <si>
    <t>ANT-TV-RO // Schedule All</t>
  </si>
  <si>
    <t>ANT-TV-RO // Check each expected feed is available and active</t>
  </si>
  <si>
    <t>ANT-TV-RO // Check event is scheduled on TVU producer</t>
  </si>
  <si>
    <t>TVU Producer</t>
  </si>
  <si>
    <t>ANT-TV-RO // Configure All</t>
  </si>
  <si>
    <t>ANT-TV-RO // Check GFX URL is as expected</t>
  </si>
  <si>
    <t>ANT-TV-RO // Check Output stream is as expected for Video/Audio </t>
  </si>
  <si>
    <t>ANT-TV-RO // Check MP is connected to output stream</t>
  </si>
  <si>
    <t>CZTV-RA-CZ // Schedule All</t>
  </si>
  <si>
    <t>CZTV-RA-CZ // Check each expected feed is available and active</t>
  </si>
  <si>
    <t>CZTV-RA-CZ // Check event is scheduled on TVU producer</t>
  </si>
  <si>
    <t>CZTV-RA-CZ // Configure All</t>
  </si>
  <si>
    <t>Check all WSC streams are enabled</t>
  </si>
  <si>
    <t>CZTV-RA-CZ // Check GFX URL is as expected</t>
  </si>
  <si>
    <t>CZTV-RA-CZ// Check Output stream is as expected for Video/Audio </t>
  </si>
  <si>
    <t>Check MV streams are available</t>
  </si>
  <si>
    <t>SRT Stream</t>
  </si>
  <si>
    <t>CZTV-RA-CZ // Check MP is connected to output stream</t>
  </si>
  <si>
    <t>ERT-TV-GR // Schedule All</t>
  </si>
  <si>
    <t>ERT-TV-GR // Check each expected feed is available and active</t>
  </si>
  <si>
    <t>ERT-TV-GR // Check event is scheduled on TVU producer</t>
  </si>
  <si>
    <t>ERT-TV-GR // Configure All</t>
  </si>
  <si>
    <t>ERT-TV-GR // Check GFX URL is as expected</t>
  </si>
  <si>
    <t>ERT-TV-GR // Check Output stream is as expected for Video/Audio </t>
  </si>
  <si>
    <t>ERT-TV-GR // Check MP is connected to output stream</t>
  </si>
  <si>
    <t>TIGO-TV-GT // Schedule All</t>
  </si>
  <si>
    <t>TIGO-TV-GT // Check each expected feed is available and active</t>
  </si>
  <si>
    <t>TIGO-TV-GT // Check event is scheduled on TVU producer</t>
  </si>
  <si>
    <t>TIGO-TV-GT // Configure All</t>
  </si>
  <si>
    <t>TIGO-TV-GT // Check GFX URL is as expected</t>
  </si>
  <si>
    <t>TIGO-TV-GT // Check Output stream is as expected for Video/Audio </t>
  </si>
  <si>
    <t>Check Anti-Piracy Workspace source feed is available and correct for each distribution path </t>
  </si>
  <si>
    <t>TIGO-TV-GT // Check MP is connected to output stream</t>
  </si>
  <si>
    <t>Run the CREATE command for the day’s events if not already created </t>
  </si>
  <si>
    <t>Start Workspace for WorldFeed </t>
  </si>
  <si>
    <t>TKOM-TV-DE // Schedule All</t>
  </si>
  <si>
    <t>TKOM-TV-DE // Check each expected feed is available and active</t>
  </si>
  <si>
    <t>TKOM-TV-DE // Check event is scheduled on TVU producer</t>
  </si>
  <si>
    <t>Check WorldFeed workspace transcoding started </t>
  </si>
  <si>
    <t>TKOM-TV-DE // Configure All</t>
  </si>
  <si>
    <t>Check WorldFeed workspace output stream is as expected for Video/Audio </t>
  </si>
  <si>
    <t>FWC Orchestrator App/HLS Player </t>
  </si>
  <si>
    <t>TKOM-TV-DE // Check GFX URL is as expected</t>
  </si>
  <si>
    <t>Identify the specific event for the match in the operational console (e.g M005) and start the workflow for each path (RED &amp; BLUE) </t>
  </si>
  <si>
    <t>TKOM-TV-DE // Check Output stream is as expected for Video/Audio </t>
  </si>
  <si>
    <t>Check restream is connected to the corresponding path output stream </t>
  </si>
  <si>
    <t>TKOM-TV-DE // Check MP is connected to output stream</t>
  </si>
  <si>
    <t>Confirm that the CC MediaConnect flows have started successfully and that both SyncWords Events are running   </t>
  </si>
  <si>
    <t>Check Matches in RIS UI // All clickable, right time? right countdown? Right Path? </t>
  </si>
  <si>
    <t>RIS Streaming UI </t>
  </si>
  <si>
    <t>Check RIS workspace source feed is available and the content is corresponding with the distribution path. </t>
  </si>
  <si>
    <t>Start RIS pipelines for the required distribution path </t>
  </si>
  <si>
    <t>Match B</t>
  </si>
  <si>
    <t>BRA vs MAR</t>
  </si>
  <si>
    <t>Check friendsMTS is connected to the corresponding path output stream </t>
  </si>
  <si>
    <t>Check RIS transcoding started  </t>
  </si>
  <si>
    <t>Check full Gfx are displayed on SRT output</t>
  </si>
  <si>
    <t>Check RIS monitoring output stream is as expected Video/Audio  </t>
  </si>
  <si>
    <t>SRT Stream </t>
  </si>
  <si>
    <t>Check Datatainment source feed is available and healthy. </t>
  </si>
  <si>
    <t>Check Matches in FCO UI // All clickable, right time? right countdown?</t>
  </si>
  <si>
    <t>FCO Backend/Frontend UI </t>
  </si>
  <si>
    <t>Check WebRTC stream audio and video are fine </t>
  </si>
  <si>
    <t>Check all Output connections for MPs are accordingly enabled or disabled.   </t>
  </si>
  <si>
    <t>Check FCO source feed is available and correct </t>
  </si>
  <si>
    <t>Check MPs are connected to their corresponding endpoints </t>
  </si>
  <si>
    <t>Check that MPs are connected to their assigned SRT outputs. </t>
  </si>
  <si>
    <t>MD-1 Match D</t>
  </si>
  <si>
    <t>SWE vs TUN</t>
  </si>
  <si>
    <t>Check FCO feed transcoding started within the pipeline </t>
  </si>
  <si>
    <t>Check FCO output streams for Video/Audio </t>
  </si>
  <si>
    <t>Check that Streamlab is connected to the relevant SRT endpoints </t>
  </si>
  <si>
    <t>Confirm that each CC flow is receiving the expected bitrate and has connected outputs (takers) </t>
  </si>
  <si>
    <t>FWC Orchestrator App/Grafana</t>
  </si>
  <si>
    <t>Check on FCO Preview streams PROD/BCKP Audio and Video are fine </t>
  </si>
  <si>
    <t>FCO Backend UI </t>
  </si>
  <si>
    <t>Once commentary audio is present confirm that SyncWords shows a running status</t>
  </si>
  <si>
    <t>SyncWords Console </t>
  </si>
  <si>
    <t>Check streams going live on FCO frontend player </t>
  </si>
  <si>
    <t>Check all resolutions are available within the player </t>
  </si>
  <si>
    <t>FCO User UI HLS Player </t>
  </si>
  <si>
    <t>Check VLC player to confirm that captions are present from the CC flow viathe Public Monitoring output </t>
  </si>
  <si>
    <t>VLC Player </t>
  </si>
  <si>
    <t>Check audio content (English Mix) </t>
  </si>
  <si>
    <t>Check audio/video on SRT + WebRTC </t>
  </si>
  <si>
    <t>FWC Orchestrator App/VLC/RIS Streaming UI </t>
  </si>
  <si>
    <t>KO </t>
  </si>
  <si>
    <t>Monitoring </t>
  </si>
  <si>
    <t>FCO UI HLS Player </t>
  </si>
  <si>
    <t>Monitoring, SRT + WebRTC </t>
  </si>
  <si>
    <t>FWC Orchestrator App/Grafana </t>
  </si>
  <si>
    <t>Monitoring streams remain healthy, from FWC Ops App </t>
  </si>
  <si>
    <t>FWC Orchestrator App/VLC/MVW </t>
  </si>
  <si>
    <t>Monitoring streams remain healthy</t>
  </si>
  <si>
    <t>Monitoring workflow remain healthy</t>
  </si>
  <si>
    <t>FWC Orchestrator App/Grafana/SyncWords </t>
  </si>
  <si>
    <t>Monitoring VLC for each CC flow output (Track 2 Audio) to confirm that captions are being embedded </t>
  </si>
  <si>
    <t>Multiview, VLC OR  Powershell script  </t>
  </si>
  <si>
    <t>CIV</t>
  </si>
  <si>
    <t>Start Monitoring MD-1 Pressconference Team A</t>
  </si>
  <si>
    <t>HT </t>
  </si>
  <si>
    <t>Monitoring, SRT+WebRTC </t>
  </si>
  <si>
    <t>SWE</t>
  </si>
  <si>
    <t>Start Monitoring MD-1 Pressconference Team B</t>
  </si>
  <si>
    <t>FW </t>
  </si>
  <si>
    <t>Match C</t>
  </si>
  <si>
    <t>HAI vs SCO</t>
  </si>
  <si>
    <t>COLOR BARS // Stop Workspace for WorldFeed </t>
  </si>
  <si>
    <t>COLOR BARS // Disconnect all outputs.</t>
  </si>
  <si>
    <t>ANT-TV-RO // Stop All</t>
  </si>
  <si>
    <t>Stop each path (RED &amp; BLUE) to spin down both the MediaConnect flows and SyncWords events </t>
  </si>
  <si>
    <t>Confirm that the Sync Words events are no longer running </t>
  </si>
  <si>
    <t>Select MARK COMPLETE command for both events </t>
  </si>
  <si>
    <t>Run the ARCHIVE &amp; DELETE command for the match </t>
  </si>
  <si>
    <t>CZTV-RA-CZ // Stop All</t>
  </si>
  <si>
    <t>ANT-TV-RO // Delete All</t>
  </si>
  <si>
    <t>TIGO-TV-GT // Stop All</t>
  </si>
  <si>
    <t>CZTV-RA-CZ // Delete All</t>
  </si>
  <si>
    <t>Check VOD is created in full and all renditions accessible </t>
  </si>
  <si>
    <t>TKOM-TV-DE // Stop All</t>
  </si>
  <si>
    <t>TIGO-TV-GT // Delete All</t>
  </si>
  <si>
    <t>Trimm VOD to adjust In and Out (opening and closing animation respectively)  </t>
  </si>
  <si>
    <t>ERT-TV-GR // Stop All</t>
  </si>
  <si>
    <t>TKOM-TV-DE // Delete All</t>
  </si>
  <si>
    <t>Check VOD is now trimmed properly  </t>
  </si>
  <si>
    <t>FCO Frontend UI </t>
  </si>
  <si>
    <t>ERT-TV-GR // Delete All</t>
  </si>
  <si>
    <t>Stop FCO distribution</t>
  </si>
  <si>
    <t>Ensure all Events are delted on TVU</t>
  </si>
  <si>
    <t>TUN</t>
  </si>
  <si>
    <t>End of last feed. End of Monitoring.</t>
  </si>
  <si>
    <t>Match D</t>
  </si>
  <si>
    <t>AUS vs TUR</t>
  </si>
  <si>
    <t>End of transmission day? Remove Match day from UI </t>
  </si>
  <si>
    <t>RIS Firebase  </t>
  </si>
  <si>
    <t>Confirm in RIS UI that Match day is removed </t>
  </si>
  <si>
    <t>MP RIS Streaming UI </t>
  </si>
  <si>
    <t>Match F</t>
  </si>
  <si>
    <t>Check each DCL Workspace planned feed. Request AMO if approval is not OK </t>
  </si>
  <si>
    <t>Start Workspace for MD-1 Press Conference Stream </t>
  </si>
  <si>
    <t>Daily Rundown</t>
  </si>
  <si>
    <t>Check Workspace Source stream is available and matching planned feed </t>
  </si>
  <si>
    <t>Check MD-1 Press Conference Workspace transcoding started </t>
  </si>
  <si>
    <t>Check MD-1 Press Conference Workspace Output stream is as expected Video/Audio </t>
  </si>
  <si>
    <t>Check MP is connected to output stream </t>
  </si>
  <si>
    <t>Start Workspace for Team A Stream </t>
  </si>
  <si>
    <t>Check Team A Workspace transcoding started </t>
  </si>
  <si>
    <t>Check Team A Workspace Output stream is as expected Video/Audio </t>
  </si>
  <si>
    <t>Start Workspace for Team B Stream </t>
  </si>
  <si>
    <t>Check Team B Workspace transcoding started </t>
  </si>
  <si>
    <t>Check Team B Workspace Output stream is as expected Video/Audio </t>
  </si>
  <si>
    <t>Start Workspace for FanAndReaction stream </t>
  </si>
  <si>
    <t>Check FanAndReaction Workspace transcoding started </t>
  </si>
  <si>
    <t>Check FanAndReaction Workspace Output stream is as expected for Video/Audio </t>
  </si>
  <si>
    <t>Check MP is connected to output stream  </t>
  </si>
  <si>
    <t>Start Workspace for WorldFeed stream (if applicable)</t>
  </si>
  <si>
    <t>Check Workspace Source stream is available and matching planned feed (if applicable)</t>
  </si>
  <si>
    <t>Check Workspace for Worldfeed transcoding started (if applicable)</t>
  </si>
  <si>
    <t>Check Workspace for Worldfeed output stream is as expected for Video/Audio (if applicable)</t>
  </si>
  <si>
    <t>Check MP is connected to output stream (if applicable)</t>
  </si>
  <si>
    <t>Date</t>
  </si>
  <si>
    <t>Match E</t>
  </si>
  <si>
    <t>Teams</t>
  </si>
  <si>
    <t>KO</t>
  </si>
  <si>
    <t>M#</t>
  </si>
  <si>
    <t>MD#</t>
  </si>
  <si>
    <t>Local Time</t>
  </si>
  <si>
    <t>UTC Time</t>
  </si>
  <si>
    <t>IBC Time</t>
  </si>
  <si>
    <t>Eastern Time</t>
  </si>
  <si>
    <t>London Time</t>
  </si>
  <si>
    <t>Time Zone</t>
  </si>
  <si>
    <t>Channels</t>
  </si>
  <si>
    <t>Team A</t>
  </si>
  <si>
    <t>Trigramm A</t>
  </si>
  <si>
    <t>Team B</t>
  </si>
  <si>
    <t>Trigramm B</t>
  </si>
  <si>
    <t>City</t>
  </si>
  <si>
    <t>MD-1 Training A</t>
  </si>
  <si>
    <t>MD-1 PC A</t>
  </si>
  <si>
    <t>MD-1 Training B</t>
  </si>
  <si>
    <t>MD-1 PC B</t>
  </si>
  <si>
    <t>UTC -6</t>
  </si>
  <si>
    <t>Mexico</t>
  </si>
  <si>
    <t>MEX</t>
  </si>
  <si>
    <t>South Africa</t>
  </si>
  <si>
    <t>RSA</t>
  </si>
  <si>
    <t>MEX vs RSA</t>
  </si>
  <si>
    <t>Mexico City</t>
  </si>
  <si>
    <t>Korea Republic</t>
  </si>
  <si>
    <t>KOR</t>
  </si>
  <si>
    <t>Czechia</t>
  </si>
  <si>
    <t>CZE</t>
  </si>
  <si>
    <t>KOR vs CZE</t>
  </si>
  <si>
    <t>Guadalajara</t>
  </si>
  <si>
    <t>UTC -4</t>
  </si>
  <si>
    <t>Canada</t>
  </si>
  <si>
    <t>CAN</t>
  </si>
  <si>
    <t>Bosnia and Herzegovina</t>
  </si>
  <si>
    <t>BIH</t>
  </si>
  <si>
    <t>CAN vs BIH</t>
  </si>
  <si>
    <t>Toronto</t>
  </si>
  <si>
    <t>UTC -7</t>
  </si>
  <si>
    <t>United States</t>
  </si>
  <si>
    <t>USA</t>
  </si>
  <si>
    <t>Paraguay</t>
  </si>
  <si>
    <t>PAR</t>
  </si>
  <si>
    <t>USA vs PAR</t>
  </si>
  <si>
    <t>Los Angeles, CA</t>
  </si>
  <si>
    <t>Haiti</t>
  </si>
  <si>
    <t>HAI</t>
  </si>
  <si>
    <t>Scotland</t>
  </si>
  <si>
    <t>SCO</t>
  </si>
  <si>
    <t>Boston, MA</t>
  </si>
  <si>
    <t>Australia</t>
  </si>
  <si>
    <t>AUS</t>
  </si>
  <si>
    <t>Türkiye</t>
  </si>
  <si>
    <t>TUR</t>
  </si>
  <si>
    <t>Vancouver</t>
  </si>
  <si>
    <t>Brazil</t>
  </si>
  <si>
    <t>BRA</t>
  </si>
  <si>
    <t>Morocco</t>
  </si>
  <si>
    <t>MAR</t>
  </si>
  <si>
    <t>New York, NJ</t>
  </si>
  <si>
    <t>Qatar</t>
  </si>
  <si>
    <t>QAT</t>
  </si>
  <si>
    <t>Switzerland</t>
  </si>
  <si>
    <t>SUI</t>
  </si>
  <si>
    <t>San Francisco, CA</t>
  </si>
  <si>
    <t>Côte d'Ivoire</t>
  </si>
  <si>
    <t>Ecuador</t>
  </si>
  <si>
    <t>Philadelphia, PA</t>
  </si>
  <si>
    <t>UTC -5</t>
  </si>
  <si>
    <t>Germany</t>
  </si>
  <si>
    <t>Curaçao</t>
  </si>
  <si>
    <t>Houston, TX</t>
  </si>
  <si>
    <t>Netherlands</t>
  </si>
  <si>
    <t>Japan</t>
  </si>
  <si>
    <t>Dallas, TX</t>
  </si>
  <si>
    <t>Sweden</t>
  </si>
  <si>
    <t>Tunisia</t>
  </si>
  <si>
    <t>Monterrey</t>
  </si>
  <si>
    <t>Saudi Arabia</t>
  </si>
  <si>
    <t>KSA</t>
  </si>
  <si>
    <t>Uruguay</t>
  </si>
  <si>
    <t>URU</t>
  </si>
  <si>
    <t>KSA vs URU</t>
  </si>
  <si>
    <t>Miami, FL</t>
  </si>
  <si>
    <t>Spain</t>
  </si>
  <si>
    <t>ESP</t>
  </si>
  <si>
    <t>Cabo Verde</t>
  </si>
  <si>
    <t>CPV</t>
  </si>
  <si>
    <t>ESP vs CPV</t>
  </si>
  <si>
    <t>Atlanta, GA</t>
  </si>
  <si>
    <t>IR Iran</t>
  </si>
  <si>
    <t>IRN</t>
  </si>
  <si>
    <t>New Zealand</t>
  </si>
  <si>
    <t>NZL</t>
  </si>
  <si>
    <t>IRN vs NZL</t>
  </si>
  <si>
    <t>Belgium</t>
  </si>
  <si>
    <t>BEL</t>
  </si>
  <si>
    <t>Egypt</t>
  </si>
  <si>
    <t>EGY</t>
  </si>
  <si>
    <t>BEL vs EGY</t>
  </si>
  <si>
    <t>Seattle, WA</t>
  </si>
  <si>
    <t>France</t>
  </si>
  <si>
    <t>FRA</t>
  </si>
  <si>
    <t>Senegal</t>
  </si>
  <si>
    <t>SEN</t>
  </si>
  <si>
    <t>FRA vs SEN</t>
  </si>
  <si>
    <t>Iraq</t>
  </si>
  <si>
    <t>IRQ</t>
  </si>
  <si>
    <t>Norway</t>
  </si>
  <si>
    <t>NOR</t>
  </si>
  <si>
    <t>IRQ vs NOR</t>
  </si>
  <si>
    <t>Argentina</t>
  </si>
  <si>
    <t>ARG</t>
  </si>
  <si>
    <t>Algeria</t>
  </si>
  <si>
    <t>ALG</t>
  </si>
  <si>
    <t>ARG vs ALG</t>
  </si>
  <si>
    <t>Kansas City, MO</t>
  </si>
  <si>
    <t>Austria</t>
  </si>
  <si>
    <t>AUT</t>
  </si>
  <si>
    <t>Jordan</t>
  </si>
  <si>
    <t>JOR</t>
  </si>
  <si>
    <t>AUT vs JOR</t>
  </si>
  <si>
    <t>Ghana</t>
  </si>
  <si>
    <t>GHA</t>
  </si>
  <si>
    <t>Panama</t>
  </si>
  <si>
    <t>PAN</t>
  </si>
  <si>
    <t>GHA vs PAN</t>
  </si>
  <si>
    <t>England</t>
  </si>
  <si>
    <t>ENG</t>
  </si>
  <si>
    <t>Croatia</t>
  </si>
  <si>
    <t>CRO</t>
  </si>
  <si>
    <t>ENG vs CRO</t>
  </si>
  <si>
    <t>Portugal</t>
  </si>
  <si>
    <t>POR</t>
  </si>
  <si>
    <t>Congo DR</t>
  </si>
  <si>
    <t>COD</t>
  </si>
  <si>
    <t>POR vs COD</t>
  </si>
  <si>
    <t>Uzbekistan</t>
  </si>
  <si>
    <t>UZB</t>
  </si>
  <si>
    <t>Colombia</t>
  </si>
  <si>
    <t>COL</t>
  </si>
  <si>
    <t>UZB vs COL</t>
  </si>
  <si>
    <t>CZE vs RSA</t>
  </si>
  <si>
    <t>SUI vs BIH</t>
  </si>
  <si>
    <t>CAN vs QAT</t>
  </si>
  <si>
    <t>MEX vs KOR</t>
  </si>
  <si>
    <t>BRA vs HAI</t>
  </si>
  <si>
    <t>SCO vs MAR</t>
  </si>
  <si>
    <t>TUR vs PAR</t>
  </si>
  <si>
    <t>USA vs AUS</t>
  </si>
  <si>
    <t>GER vs CIV</t>
  </si>
  <si>
    <t>ECU vs CUW</t>
  </si>
  <si>
    <t>NED vs SWE</t>
  </si>
  <si>
    <t>TUN vs JPN</t>
  </si>
  <si>
    <t>URU vs CPV</t>
  </si>
  <si>
    <t>ESP vs KSA</t>
  </si>
  <si>
    <t>BEL vs IRN</t>
  </si>
  <si>
    <t>NZL vs EGY</t>
  </si>
  <si>
    <t>NOR vs SEN</t>
  </si>
  <si>
    <t>FRA vs IRQ</t>
  </si>
  <si>
    <t>ARG vs AUT</t>
  </si>
  <si>
    <t>JOR vs ALG</t>
  </si>
  <si>
    <t>ENG vs GHA</t>
  </si>
  <si>
    <t>PAN vs CRO</t>
  </si>
  <si>
    <t>POR vs UZB</t>
  </si>
  <si>
    <t>COL vs COD</t>
  </si>
  <si>
    <t>SCO vs BRA</t>
  </si>
  <si>
    <t>MAR vs HAI</t>
  </si>
  <si>
    <t>SUI vs CAN</t>
  </si>
  <si>
    <t>BIH vs QAT</t>
  </si>
  <si>
    <t>CZE vs MEX</t>
  </si>
  <si>
    <t>RSA vs KOR</t>
  </si>
  <si>
    <t>CUW vs CIV</t>
  </si>
  <si>
    <t>ECU vs GER</t>
  </si>
  <si>
    <t>JPN vs SWE</t>
  </si>
  <si>
    <t>TUN vs NED</t>
  </si>
  <si>
    <t>TUR vs USA</t>
  </si>
  <si>
    <t>PAR vs AUS</t>
  </si>
  <si>
    <t>NOR vs FRA</t>
  </si>
  <si>
    <t>SEN vs IRQ</t>
  </si>
  <si>
    <t>EGY vs IRN</t>
  </si>
  <si>
    <t>NZL vs BEL</t>
  </si>
  <si>
    <t>CPV vs KSA</t>
  </si>
  <si>
    <t>URU vs ESP</t>
  </si>
  <si>
    <t>PAN vs ENG</t>
  </si>
  <si>
    <t>CRO vs GHA</t>
  </si>
  <si>
    <t>ALG vs AUT</t>
  </si>
  <si>
    <t>JOR vs ARG</t>
  </si>
  <si>
    <t>COL vs POR</t>
  </si>
  <si>
    <t>COD vs UZB</t>
  </si>
  <si>
    <t>2A</t>
  </si>
  <si>
    <t>2B</t>
  </si>
  <si>
    <t>2A vs 2B</t>
  </si>
  <si>
    <t>1E</t>
  </si>
  <si>
    <t>3ABCDF</t>
  </si>
  <si>
    <t>1E vs 3ABCDF</t>
  </si>
  <si>
    <t>1F</t>
  </si>
  <si>
    <t>2C</t>
  </si>
  <si>
    <t>1F vs 2C</t>
  </si>
  <si>
    <t>1C</t>
  </si>
  <si>
    <t>2F</t>
  </si>
  <si>
    <t>1C vs 2F</t>
  </si>
  <si>
    <t>1I</t>
  </si>
  <si>
    <t>3CDFGH</t>
  </si>
  <si>
    <t>1I vs 3CDFGH</t>
  </si>
  <si>
    <t>2E</t>
  </si>
  <si>
    <t>2I</t>
  </si>
  <si>
    <t>2E vs 2I</t>
  </si>
  <si>
    <t>1A</t>
  </si>
  <si>
    <t>3CEFHI</t>
  </si>
  <si>
    <t>1A vs 3CEFHI</t>
  </si>
  <si>
    <t>1L</t>
  </si>
  <si>
    <t>3EHIJK</t>
  </si>
  <si>
    <t>1L vs 3EHIJK</t>
  </si>
  <si>
    <t>1D</t>
  </si>
  <si>
    <t>3BEFIJ</t>
  </si>
  <si>
    <t>1D vs 3BEFIJ</t>
  </si>
  <si>
    <t>1G</t>
  </si>
  <si>
    <t>3AEHIJ</t>
  </si>
  <si>
    <t>1G vs 3AEHIJ</t>
  </si>
  <si>
    <t>2K</t>
  </si>
  <si>
    <t>2L</t>
  </si>
  <si>
    <t>2K vs 2L</t>
  </si>
  <si>
    <t>1H</t>
  </si>
  <si>
    <t>2J</t>
  </si>
  <si>
    <t>1H vs 2J</t>
  </si>
  <si>
    <t>1B</t>
  </si>
  <si>
    <t>3EFGHIJ</t>
  </si>
  <si>
    <t>1B vs 3EFGHIJ</t>
  </si>
  <si>
    <t>1J</t>
  </si>
  <si>
    <t>2H</t>
  </si>
  <si>
    <t>1J vs 2H</t>
  </si>
  <si>
    <t>1K</t>
  </si>
  <si>
    <t>3DEIJL</t>
  </si>
  <si>
    <t>1K vs 3DEIJL</t>
  </si>
  <si>
    <t>2D</t>
  </si>
  <si>
    <t>2G</t>
  </si>
  <si>
    <t>2D vs 2G</t>
  </si>
  <si>
    <t>W74</t>
  </si>
  <si>
    <t>W77</t>
  </si>
  <si>
    <t>W74 vs W77</t>
  </si>
  <si>
    <t>W73</t>
  </si>
  <si>
    <t>W75</t>
  </si>
  <si>
    <t>W73 vs W75</t>
  </si>
  <si>
    <t>W76</t>
  </si>
  <si>
    <t>W78</t>
  </si>
  <si>
    <t>W76 vs W78</t>
  </si>
  <si>
    <t>W79</t>
  </si>
  <si>
    <t>W80</t>
  </si>
  <si>
    <t>W79 vs W80</t>
  </si>
  <si>
    <t>W83</t>
  </si>
  <si>
    <t>W84</t>
  </si>
  <si>
    <t>W83 vs W84</t>
  </si>
  <si>
    <t>W81</t>
  </si>
  <si>
    <t>W82</t>
  </si>
  <si>
    <t>W81 vs W82</t>
  </si>
  <si>
    <t>W86 </t>
  </si>
  <si>
    <t>W88</t>
  </si>
  <si>
    <t>W86  vs W88</t>
  </si>
  <si>
    <t>W85</t>
  </si>
  <si>
    <t>W87</t>
  </si>
  <si>
    <t>W85 vs W87</t>
  </si>
  <si>
    <t>W89</t>
  </si>
  <si>
    <t>W90</t>
  </si>
  <si>
    <t>W89 vs W90</t>
  </si>
  <si>
    <t>W93</t>
  </si>
  <si>
    <t>W94</t>
  </si>
  <si>
    <t>W93 vs W94</t>
  </si>
  <si>
    <t>W91</t>
  </si>
  <si>
    <t>W92</t>
  </si>
  <si>
    <t>W91 vs W92</t>
  </si>
  <si>
    <t>W95</t>
  </si>
  <si>
    <t>W96</t>
  </si>
  <si>
    <t>W95 vs W96</t>
  </si>
  <si>
    <t>W97</t>
  </si>
  <si>
    <t>W98</t>
  </si>
  <si>
    <t>W97 vs W98</t>
  </si>
  <si>
    <t>W99</t>
  </si>
  <si>
    <t>W100</t>
  </si>
  <si>
    <t>W99 vs W100</t>
  </si>
  <si>
    <t>L101</t>
  </si>
  <si>
    <t>L102</t>
  </si>
  <si>
    <t>L101 vs L102</t>
  </si>
  <si>
    <t>W101</t>
  </si>
  <si>
    <t>W102</t>
  </si>
  <si>
    <t>W101 vs W102</t>
  </si>
  <si>
    <t>multiplicator</t>
  </si>
  <si>
    <t>time value</t>
  </si>
  <si>
    <t>reference wisle</t>
  </si>
  <si>
    <t>General</t>
  </si>
  <si>
    <t>MediaConnect</t>
  </si>
  <si>
    <t>FW</t>
  </si>
  <si>
    <r>
      <rPr>
        <sz val="12"/>
        <color rgb="FF000000"/>
        <rFont val="Aptos Narrow"/>
        <scheme val="minor"/>
      </rPr>
      <t xml:space="preserve">Stop Telstra Contribution Path </t>
    </r>
    <r>
      <rPr>
        <b/>
        <sz val="12"/>
        <color rgb="FF000000"/>
        <rFont val="Aptos Narrow"/>
        <scheme val="minor"/>
      </rPr>
      <t>US-EAST</t>
    </r>
  </si>
  <si>
    <r>
      <rPr>
        <sz val="12"/>
        <color rgb="FF000000"/>
        <rFont val="Aptos Narrow"/>
        <scheme val="minor"/>
      </rPr>
      <t xml:space="preserve">Stop Telstra Contribution Path </t>
    </r>
    <r>
      <rPr>
        <b/>
        <sz val="12"/>
        <color rgb="FF000000"/>
        <rFont val="Aptos Narrow"/>
        <scheme val="minor"/>
      </rPr>
      <t>US-WEST</t>
    </r>
  </si>
  <si>
    <t>Web Router Panel</t>
  </si>
  <si>
    <t>RIS</t>
  </si>
  <si>
    <t>EOD</t>
  </si>
  <si>
    <t>DCL WS1</t>
  </si>
  <si>
    <r>
      <rPr>
        <sz val="12"/>
        <color rgb="FF000000"/>
        <rFont val="Aptos Narrow"/>
      </rPr>
      <t xml:space="preserve">Start Monitoring MD-1 Press Conference </t>
    </r>
    <r>
      <rPr>
        <b/>
        <sz val="12"/>
        <color rgb="FF000000"/>
        <rFont val="Aptos Narrow"/>
      </rPr>
      <t>1st activity</t>
    </r>
  </si>
  <si>
    <r>
      <rPr>
        <sz val="12"/>
        <color rgb="FF000000"/>
        <rFont val="Aptos Narrow"/>
      </rPr>
      <t xml:space="preserve">Start Monitoring MD-1 Press Conference </t>
    </r>
    <r>
      <rPr>
        <b/>
        <sz val="12"/>
        <color rgb="FF000000"/>
        <rFont val="Aptos Narrow"/>
      </rPr>
      <t>2nd activity</t>
    </r>
  </si>
  <si>
    <r>
      <rPr>
        <sz val="12"/>
        <color rgb="FF000000"/>
        <rFont val="Aptos Narrow"/>
      </rPr>
      <t>End of MD-1 Press Conference </t>
    </r>
    <r>
      <rPr>
        <b/>
        <sz val="12"/>
        <color rgb="FF000000"/>
        <rFont val="Aptos Narrow"/>
      </rPr>
      <t>1st activity</t>
    </r>
  </si>
  <si>
    <r>
      <rPr>
        <sz val="12"/>
        <color rgb="FF000000"/>
        <rFont val="Aptos Narrow"/>
      </rPr>
      <t>End of MD-1 Press Conference </t>
    </r>
    <r>
      <rPr>
        <b/>
        <sz val="12"/>
        <color rgb="FF000000"/>
        <rFont val="Aptos Narrow"/>
      </rPr>
      <t>2nd activity</t>
    </r>
  </si>
  <si>
    <r>
      <rPr>
        <sz val="12"/>
        <color rgb="FF000000"/>
        <rFont val="Aptos Narrow"/>
      </rPr>
      <t>Stop Workspace </t>
    </r>
    <r>
      <rPr>
        <b/>
        <sz val="12"/>
        <color rgb="FF000000"/>
        <rFont val="Aptos Narrow"/>
      </rPr>
      <t>for MD-1 Press Conference ONLY</t>
    </r>
    <r>
      <rPr>
        <sz val="12"/>
        <color rgb="FF000000"/>
        <rFont val="Aptos Narrow"/>
      </rPr>
      <t> </t>
    </r>
  </si>
  <si>
    <t>DCL WS2</t>
  </si>
  <si>
    <t>DCL WS3</t>
  </si>
  <si>
    <r>
      <rPr>
        <sz val="12"/>
        <color rgb="FF000000"/>
        <rFont val="Aptos Narrow"/>
      </rPr>
      <t>COLOR BARS // Stop Workspace </t>
    </r>
    <r>
      <rPr>
        <b/>
        <sz val="12"/>
        <color rgb="FF000000"/>
        <rFont val="Aptos Narrow"/>
      </rPr>
      <t>for Team A feed ONLY</t>
    </r>
    <r>
      <rPr>
        <sz val="12"/>
        <color rgb="FF000000"/>
        <rFont val="Aptos Narrow"/>
      </rPr>
      <t> </t>
    </r>
  </si>
  <si>
    <t>DCL WS4</t>
  </si>
  <si>
    <r>
      <rPr>
        <sz val="12"/>
        <color rgb="FF000000"/>
        <rFont val="Aptos Narrow"/>
      </rPr>
      <t>COLOR BARS // Stop Workspace </t>
    </r>
    <r>
      <rPr>
        <b/>
        <sz val="12"/>
        <color rgb="FF000000"/>
        <rFont val="Aptos Narrow"/>
      </rPr>
      <t>for Team B feed ONLY</t>
    </r>
    <r>
      <rPr>
        <sz val="12"/>
        <color rgb="FF000000"/>
        <rFont val="Aptos Narrow"/>
      </rPr>
      <t> </t>
    </r>
  </si>
  <si>
    <t>DCL WS5</t>
  </si>
  <si>
    <r>
      <rPr>
        <sz val="12"/>
        <color rgb="FF000000"/>
        <rFont val="Aptos Narrow"/>
      </rPr>
      <t>Stop Workspace </t>
    </r>
    <r>
      <rPr>
        <b/>
        <sz val="12"/>
        <color rgb="FF000000"/>
        <rFont val="Aptos Narrow"/>
      </rPr>
      <t>for Worldfeed ONLY</t>
    </r>
    <r>
      <rPr>
        <sz val="12"/>
        <color rgb="FF000000"/>
        <rFont val="Aptos Narrow"/>
      </rPr>
      <t> (if applicable)</t>
    </r>
  </si>
  <si>
    <r>
      <rPr>
        <sz val="12"/>
        <color rgb="FF000000"/>
        <rFont val="Aptos Narrow"/>
      </rPr>
      <t>COLOR BARS // Stop Workspace </t>
    </r>
    <r>
      <rPr>
        <b/>
        <sz val="12"/>
        <color rgb="FF000000"/>
        <rFont val="Aptos Narrow"/>
      </rPr>
      <t>for FanAndReaction feed ONLY</t>
    </r>
    <r>
      <rPr>
        <sz val="12"/>
        <color rgb="FF000000"/>
        <rFont val="Aptos Narrow"/>
      </rPr>
      <t> </t>
    </r>
  </si>
  <si>
    <t>Antipiracy</t>
  </si>
  <si>
    <t>FCO</t>
  </si>
  <si>
    <r>
      <rPr>
        <sz val="12"/>
        <color rgb="FF000000"/>
        <rFont val="Aptos Narrow"/>
      </rPr>
      <t>Adjust end time on FCO Backend </t>
    </r>
    <r>
      <rPr>
        <b/>
        <sz val="12"/>
        <color rgb="FF000000"/>
        <rFont val="Aptos Narrow"/>
      </rPr>
      <t>after closing animation</t>
    </r>
  </si>
  <si>
    <r>
      <rPr>
        <sz val="12"/>
        <color rgb="FF000000"/>
        <rFont val="Aptos Narrow"/>
      </rPr>
      <t>COLOR BARS // Stop Distribution </t>
    </r>
    <r>
      <rPr>
        <b/>
        <sz val="12"/>
        <color rgb="FF000000"/>
        <rFont val="Aptos Narrow"/>
      </rPr>
      <t>for WF ONLY</t>
    </r>
    <r>
      <rPr>
        <sz val="12"/>
        <color rgb="FF000000"/>
        <rFont val="Aptos Narrow"/>
      </rPr>
      <t> </t>
    </r>
  </si>
  <si>
    <r>
      <rPr>
        <sz val="12"/>
        <color rgb="FF000000"/>
        <rFont val="Aptos Narrow"/>
      </rPr>
      <t>COLOR BARS // Stop Distribution </t>
    </r>
    <r>
      <rPr>
        <b/>
        <sz val="12"/>
        <color rgb="FF000000"/>
        <rFont val="Aptos Narrow"/>
      </rPr>
      <t>for Fan&amp;Reaction</t>
    </r>
    <r>
      <rPr>
        <sz val="12"/>
        <color rgb="FF000000"/>
        <rFont val="Aptos Narrow"/>
      </rPr>
      <t> </t>
    </r>
  </si>
  <si>
    <t>WSC</t>
  </si>
  <si>
    <t>Datatainment</t>
  </si>
  <si>
    <t>Closed Captions</t>
  </si>
  <si>
    <r>
      <t>Confirm transcription data is stored for both East and West paths under </t>
    </r>
    <r>
      <rPr>
        <b/>
        <sz val="12"/>
        <color rgb="FF000000"/>
        <rFont val="Aptos Narrow"/>
        <charset val="1"/>
      </rPr>
      <t>Archived Transcripts</t>
    </r>
    <r>
      <rPr>
        <sz val="12"/>
        <color rgb="FF000000"/>
        <rFont val="Aptos Narrow"/>
        <charset val="1"/>
      </rPr>
      <t> section </t>
    </r>
  </si>
  <si>
    <t>MatchBuddy</t>
  </si>
  <si>
    <t>MD-1 WSC</t>
  </si>
  <si>
    <r>
      <rPr>
        <sz val="12"/>
        <color rgb="FF000000"/>
        <rFont val="Aptos Narrow"/>
        <scheme val="minor"/>
      </rPr>
      <t xml:space="preserve">Stop Service Distribution Path </t>
    </r>
    <r>
      <rPr>
        <b/>
        <sz val="12"/>
        <color rgb="FF000000"/>
        <rFont val="Aptos Narrow"/>
        <scheme val="minor"/>
      </rPr>
      <t>(All activities on that Path)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</si>
</sst>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;\-0;0"/>
    <numFmt numFmtId="165" formatCode="[$-F400]h:mm:ss\ AM/PM"/>
    <numFmt numFmtId="166" formatCode="h:mm;@"/>
  </numFmts>
  <fonts count="14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sz val="10"/>
      <name val="Times New Roman"/>
      <family val="1"/>
    </font>
    <font>
      <b/>
      <sz val="12"/>
      <color rgb="FF000000"/>
      <name val="Aptos Narrow"/>
    </font>
    <font>
      <sz val="12"/>
      <color rgb="FF000000"/>
      <name val="Aptos Narrow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charset val="1"/>
    </font>
    <font>
      <b/>
      <sz val="12"/>
      <color rgb="FF000000"/>
      <name val="Aptos Narrow"/>
      <charset val="1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trike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readingOrder="1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1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1" fontId="4" fillId="0" borderId="0" xfId="0" applyNumberFormat="1" applyFont="1"/>
    <xf numFmtId="1" fontId="2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9" fillId="0" borderId="0" xfId="0" applyFont="1"/>
    <xf numFmtId="0" fontId="8" fillId="0" borderId="0" xfId="1"/>
    <xf numFmtId="0" fontId="11" fillId="0" borderId="0" xfId="0" applyFont="1"/>
    <xf numFmtId="1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1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/>
    <xf numFmtId="1" fontId="7" fillId="0" borderId="0" xfId="0" applyNumberFormat="1" applyFont="1" applyAlignment="1">
      <alignment horizontal="right"/>
    </xf>
    <xf numFmtId="165" fontId="13" fillId="2" borderId="1" xfId="0" applyNumberFormat="1" applyFont="1" applyFill="1" applyBorder="1"/>
    <xf numFmtId="165" fontId="13" fillId="2" borderId="2" xfId="0" applyNumberFormat="1" applyFont="1" applyFill="1" applyBorder="1"/>
    <xf numFmtId="165" fontId="13" fillId="0" borderId="1" xfId="0" applyNumberFormat="1" applyFont="1" applyBorder="1"/>
    <xf numFmtId="165" fontId="13" fillId="0" borderId="2" xfId="0" applyNumberFormat="1" applyFont="1" applyBorder="1"/>
    <xf numFmtId="165" fontId="0" fillId="3" borderId="1" xfId="0" applyNumberFormat="1" applyFill="1" applyBorder="1"/>
    <xf numFmtId="165" fontId="0" fillId="3" borderId="2" xfId="0" applyNumberFormat="1" applyFill="1" applyBorder="1"/>
  </cellXfs>
  <cellStyles count="2">
    <cellStyle name="Hyperlink" xfId="1" xr:uid="{00000000-000B-0000-0000-000008000000}"/>
    <cellStyle name="Normal" xfId="0" builtinId="0"/>
  </cellStyles>
  <dxfs count="3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numFmt numFmtId="164" formatCode="\+0;\-0;0"/>
      <alignment horizontal="right" vertical="bottom" textRotation="0" wrapText="0" indent="0" justifyLastLine="0" shrinkToFit="0" readingOrder="0"/>
    </dxf>
    <dxf>
      <numFmt numFmtId="164" formatCode="\+0;\-0;0"/>
    </dxf>
    <dxf>
      <numFmt numFmtId="164" formatCode="\+0;\-0;0"/>
    </dxf>
    <dxf>
      <numFmt numFmtId="164" formatCode="\+0;\-0;0"/>
    </dxf>
    <dxf>
      <numFmt numFmtId="165" formatCode="[$-F400]h:mm:ss\ AM/PM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</dxf>
    <dxf>
      <numFmt numFmtId="164" formatCode="\+0;\-0;0"/>
    </dxf>
    <dxf>
      <numFmt numFmtId="165" formatCode="[$-F400]h:mm:ss\ AM/PM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</dxf>
    <dxf>
      <numFmt numFmtId="164" formatCode="\+0;\-0;0"/>
    </dxf>
    <dxf>
      <numFmt numFmtId="165" formatCode="[$-F400]h:mm:ss\ AM/PM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</dxf>
    <dxf>
      <numFmt numFmtId="164" formatCode="\+0;\-0;0"/>
    </dxf>
    <dxf>
      <numFmt numFmtId="165" formatCode="[$-F400]h:mm:ss\ AM/PM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</dxf>
    <dxf>
      <numFmt numFmtId="164" formatCode="\+0;\-0;0"/>
    </dxf>
    <dxf>
      <numFmt numFmtId="165" formatCode="[$-F400]h:mm:ss\ AM/PM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1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</dxf>
    <dxf>
      <numFmt numFmtId="164" formatCode="\+0;\-0;0"/>
    </dxf>
    <dxf>
      <numFmt numFmtId="165" formatCode="[$-F400]h:mm:ss\ AM/PM"/>
    </dxf>
    <dxf>
      <numFmt numFmtId="0" formatCode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64" formatCode="\+0;\-0;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64" formatCode="\+0;\-0;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64" formatCode="\+0;\-0;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64" formatCode="\+0;\-0;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64" formatCode="\+0;\-0;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rgb="FF000000"/>
      </font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64" formatCode="\+0;\-0;0"/>
      <alignment horizontal="right" vertical="bottom" textRotation="0" wrapText="0" indent="0" justifyLastLine="0" shrinkToFit="0" readingOrder="0"/>
    </dxf>
    <dxf>
      <numFmt numFmtId="166" formatCode="h:mm;@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0"/>
    </dxf>
    <dxf>
      <numFmt numFmtId="1" formatCode="0"/>
    </dxf>
    <dxf>
      <numFmt numFmtId="164" formatCode="\+0;\-0;0"/>
    </dxf>
    <dxf>
      <numFmt numFmtId="166" formatCode="h:mm;@"/>
    </dxf>
    <dxf>
      <numFmt numFmtId="0" formatCode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0"/>
    </dxf>
    <dxf>
      <numFmt numFmtId="1" formatCode="0"/>
    </dxf>
    <dxf>
      <numFmt numFmtId="164" formatCode="\+0;\-0;0"/>
    </dxf>
    <dxf>
      <numFmt numFmtId="166" formatCode="h:mm;@"/>
    </dxf>
    <dxf>
      <numFmt numFmtId="0" formatCode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0"/>
    </dxf>
    <dxf>
      <numFmt numFmtId="1" formatCode="0"/>
    </dxf>
    <dxf>
      <numFmt numFmtId="164" formatCode="\+0;\-0;0"/>
    </dxf>
    <dxf>
      <numFmt numFmtId="166" formatCode="h:mm;@"/>
    </dxf>
    <dxf>
      <numFmt numFmtId="0" formatCode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0"/>
    </dxf>
    <dxf>
      <numFmt numFmtId="1" formatCode="0"/>
    </dxf>
    <dxf>
      <numFmt numFmtId="164" formatCode="\+0;\-0;0"/>
    </dxf>
    <dxf>
      <numFmt numFmtId="166" formatCode="h:mm;@"/>
    </dxf>
    <dxf>
      <numFmt numFmtId="0" formatCode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onnections" Target="connections.xml"/><Relationship Id="rId50" Type="http://schemas.openxmlformats.org/officeDocument/2006/relationships/sheetMetadata" Target="metadata.xml"/><Relationship Id="rId55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eniseren/Documents/Arbeit/FIFA%20WM%20USA/Work/FWC22%20Denis%20Task%20List%20(Daily%20Schedule%20v8).xlsx" TargetMode="External"/><Relationship Id="rId1" Type="http://schemas.openxmlformats.org/officeDocument/2006/relationships/externalLinkPath" Target="/Users/deniseren/Documents/Arbeit/FIFA%20WM%20USA/Work/FWC22%20Denis%20Task%20List%20(Daily%20Schedule%20v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WC22 Denis Task List (Daily Sc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B5123AD-E1CB-2F4C-BFBC-C59C6927374C}" name="Match" displayName="Match" ref="A1:T105" totalsRowShown="0">
  <autoFilter ref="A1:T105" xr:uid="{5B5123AD-E1CB-2F4C-BFBC-C59C6927374C}"/>
  <tableColumns count="20">
    <tableColumn id="1" xr3:uid="{4C50701D-CD69-864F-A10E-1404D5C142C4}" name="M#"/>
    <tableColumn id="2" xr3:uid="{55DA1C46-DEE1-0643-8D97-11D35BAFFD5F}" name="MD#"/>
    <tableColumn id="3" xr3:uid="{A7B23AF7-DF40-B545-870E-CEF8FE3649EE}" name="Date" dataDxfId="310"/>
    <tableColumn id="4" xr3:uid="{7198581A-B2E5-BC46-8E65-92705404E50F}" name="Local Time" dataDxfId="309"/>
    <tableColumn id="5" xr3:uid="{CD5CD79E-1C22-9244-BBFF-A1CB016885E1}" name="UTC Time" dataDxfId="308"/>
    <tableColumn id="6" xr3:uid="{B03D7BD9-DBCE-2046-B6FF-BE6919BFD1BB}" name="IBC Time" dataDxfId="307"/>
    <tableColumn id="7" xr3:uid="{F20E2107-295D-C34A-9AD5-AE7FD831A3C3}" name="Eastern Time" dataDxfId="306"/>
    <tableColumn id="8" xr3:uid="{C61C1B2D-C3D7-FE47-98D3-843C1D0125C1}" name="London Time" dataDxfId="305"/>
    <tableColumn id="9" xr3:uid="{8FD6963C-56B9-F44F-A373-41AFC5358670}" name="Time Zone" dataDxfId="304"/>
    <tableColumn id="10" xr3:uid="{1C5B54C4-2F54-7B48-A57E-1ECC663B808E}" name="Channels" dataDxfId="303"/>
    <tableColumn id="11" xr3:uid="{9E7DF5E5-6FA8-B146-8DB1-6D928686D0B4}" name="Team A" dataDxfId="302"/>
    <tableColumn id="12" xr3:uid="{9E55B42D-A71F-1B4C-9D95-E02EF405D982}" name="Trigramm A" dataDxfId="301"/>
    <tableColumn id="13" xr3:uid="{92B0149C-1016-BF45-B753-6C5B8B4E1640}" name="Team B" dataDxfId="300"/>
    <tableColumn id="14" xr3:uid="{4EC461A1-25C4-D24F-9548-84E51A2AE21F}" name="Trigramm B" dataDxfId="299"/>
    <tableColumn id="16" xr3:uid="{359E475B-25A8-5947-BCCE-4E2B1F6C30E3}" name="Teams" dataDxfId="298"/>
    <tableColumn id="15" xr3:uid="{D840D6F6-E031-844B-B0D3-1CEB91C1C0E8}" name="City" dataDxfId="297"/>
    <tableColumn id="17" xr3:uid="{FC4ABA85-1A39-48DB-A219-9D2171E7AEB0}" name="MD-1 Training A" dataDxfId="296"/>
    <tableColumn id="18" xr3:uid="{D70677A1-E556-4665-9370-E2C4668235F5}" name="MD-1 PC A" dataDxfId="295"/>
    <tableColumn id="19" xr3:uid="{9EEFEDAA-5247-406C-962F-5D438867ECC6}" name="MD-1 Training B" dataDxfId="294"/>
    <tableColumn id="20" xr3:uid="{0CB79308-40D6-4510-8231-616EB29A191B}" name="MD-1 PC B" dataDxfId="29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D36FAE-8835-DB49-8B31-84152D76F4AA}" name="GENERAL_A" displayName="GENERAL_A" ref="A1:K9" totalsRowShown="0" tableBorderDxfId="292">
  <autoFilter ref="A1:K9" xr:uid="{78E923BF-BF72-B644-99BB-3667E911EE9D}"/>
  <tableColumns count="11">
    <tableColumn id="2" xr3:uid="{F366A932-7FD5-F74B-BE42-721DA4661801}" name="Service ID"/>
    <tableColumn id="1" xr3:uid="{F94CFD4D-3EEC-6F4F-958C-547D7693B2D0}" name="Role"/>
    <tableColumn id="13" xr3:uid="{6929B441-AC45-CC48-A9EE-742FDBCCC6EE}" name="Distribution"/>
    <tableColumn id="14" xr3:uid="{9BF2ED22-6F6B-294F-9D6E-DEBA8C4A5CEB}" name="Match" dataDxfId="291">
      <calculatedColumnFormula>#REF!</calculatedColumnFormula>
    </tableColumn>
    <tableColumn id="7" xr3:uid="{27483F88-C82D-A149-BF98-F1A4CD62BB2F}" name="Real IBC Time" dataDxfId="290">
      <calculatedColumnFormula array="1">_xlfn.IFS(GENERAL_A[[#This Row],[reference wisle]]="KO",#REF!+(GENERAL_A[[#This Row],[Time to KO]]/1440),GENERAL_A[[#This Row],[reference wisle]]="FW",#REF!+(GENERAL_A[[#This Row],[Time to KO]]/1440),GENERAL_A[[#This Row],[reference wisle]]="EOD","End of Day")</calculatedColumnFormula>
    </tableColumn>
    <tableColumn id="6" xr3:uid="{0160BCF2-40FA-C249-BF04-4BE339A4F70B}" name="Time to KO" dataDxfId="289">
      <calculatedColumnFormula>GENERAL_A[[#This Row],[time value]]*GENERAL_A[[#This Row],[multiplicator]]</calculatedColumnFormula>
    </tableColumn>
    <tableColumn id="12" xr3:uid="{C272BF76-5E77-BE41-AE00-0373119A44DE}" name="multiplicator"/>
    <tableColumn id="11" xr3:uid="{9910FE24-BAAB-0C43-91FC-FDFDA3A4291B}" name="time value" dataDxfId="288"/>
    <tableColumn id="8" xr3:uid="{58BF9B32-8B97-804A-A8E7-4EA25E8CCA4D}" name="reference wisle" dataDxfId="287"/>
    <tableColumn id="9" xr3:uid="{70ED6A33-93AB-394E-ADFD-68215FF7C33B}" name="Task" dataDxfId="286"/>
    <tableColumn id="10" xr3:uid="{FEB809E5-D523-AD45-A571-6A6BCFDEA383}" name="System UI" dataDxfId="28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76BB747-8F14-5447-A072-9BE048168D48}" name="GENERAL_B" displayName="GENERAL_B" ref="A1:K9" totalsRowShown="0" tableBorderDxfId="284">
  <autoFilter ref="A1:K9" xr:uid="{78E923BF-BF72-B644-99BB-3667E911EE9D}"/>
  <tableColumns count="11">
    <tableColumn id="2" xr3:uid="{6D9BB9DF-4DDA-F646-99A5-DC2CEEF90075}" name="Service ID"/>
    <tableColumn id="1" xr3:uid="{4D1D6F42-A991-6A4F-B23E-54739A73DCB3}" name="Role"/>
    <tableColumn id="13" xr3:uid="{6FB499BD-6BE8-0143-9BAA-701F92AF37F8}" name="Distribution"/>
    <tableColumn id="14" xr3:uid="{630D7683-3208-8649-AAAE-302FABF3E187}" name="Match" dataDxfId="283">
      <calculatedColumnFormula>#REF!</calculatedColumnFormula>
    </tableColumn>
    <tableColumn id="7" xr3:uid="{F5C9C59B-BF67-4343-89AE-383D44D788BF}" name="Real IBC Time" dataDxfId="282">
      <calculatedColumnFormula array="1">_xlfn.IFS(GENERAL_B[[#This Row],[reference wisle]]="KO",#REF!+(GENERAL_B[[#This Row],[Time to KO]]/1440),GENERAL_B[[#This Row],[reference wisle]]="FW",#REF!+(GENERAL_B[[#This Row],[Time to KO]]/1440),GENERAL_B[[#This Row],[reference wisle]]="EOD","End of Day")</calculatedColumnFormula>
    </tableColumn>
    <tableColumn id="6" xr3:uid="{5A794906-F318-9642-AE48-BAE9E7A19D9F}" name="Time to KO" dataDxfId="281">
      <calculatedColumnFormula>GENERAL_B[[#This Row],[time value]]*GENERAL_B[[#This Row],[multiplicator]]</calculatedColumnFormula>
    </tableColumn>
    <tableColumn id="12" xr3:uid="{E5F4BC3F-C92D-DE4D-B29C-FE8D1E95298E}" name="multiplicator"/>
    <tableColumn id="11" xr3:uid="{F6953E6F-9BFF-7246-8599-7E81E7B78928}" name="time value" dataDxfId="280"/>
    <tableColumn id="8" xr3:uid="{713C363B-8AB4-2240-855E-C97117EBEB6B}" name="reference wisle" dataDxfId="279"/>
    <tableColumn id="9" xr3:uid="{4DC19FE3-1CB9-2B4F-BA83-CA9B8D6FD8CF}" name="Task" dataDxfId="278"/>
    <tableColumn id="10" xr3:uid="{7194AEF5-64C3-0843-9BCD-5E95680B970F}" name="System UI" dataDxfId="27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9289AD8-1DFD-044B-AC56-A30B7D67FE81}" name="GENERAL_C" displayName="GENERAL_C" ref="A1:K9" totalsRowShown="0" tableBorderDxfId="276">
  <autoFilter ref="A1:K9" xr:uid="{78E923BF-BF72-B644-99BB-3667E911EE9D}"/>
  <tableColumns count="11">
    <tableColumn id="2" xr3:uid="{F8E6753D-9FA3-974D-BEAE-42513C0F0DE4}" name="Service ID"/>
    <tableColumn id="1" xr3:uid="{57000F65-43A8-D94F-A3B4-DF202CE9FC99}" name="Role"/>
    <tableColumn id="13" xr3:uid="{E81BE59F-894B-A249-A8CA-E8D2B3DBCBE0}" name="Distribution"/>
    <tableColumn id="14" xr3:uid="{4B16CEAF-6B41-BE44-99E2-15753CABF188}" name="Match" dataDxfId="275">
      <calculatedColumnFormula>#REF!</calculatedColumnFormula>
    </tableColumn>
    <tableColumn id="7" xr3:uid="{96A193D3-DCB9-7841-A105-BF4BE397633C}" name="Real IBC Time" dataDxfId="274">
      <calculatedColumnFormula array="1">_xlfn.IFS(GENERAL_C[[#This Row],[reference wisle]]="KO",#REF!+(GENERAL_C[[#This Row],[Time to KO]]/1440),GENERAL_C[[#This Row],[reference wisle]]="FW",#REF!+(GENERAL_C[[#This Row],[Time to KO]]/1440),GENERAL_C[[#This Row],[reference wisle]]="EOD","End of Day")</calculatedColumnFormula>
    </tableColumn>
    <tableColumn id="6" xr3:uid="{8AED5EA4-9892-BB49-A559-88DD67AFE958}" name="Time to KO" dataDxfId="273">
      <calculatedColumnFormula>GENERAL_C[[#This Row],[time value]]*GENERAL_C[[#This Row],[multiplicator]]</calculatedColumnFormula>
    </tableColumn>
    <tableColumn id="12" xr3:uid="{E0B43789-9359-0E49-BB27-DECD6D6B2E72}" name="multiplicator"/>
    <tableColumn id="11" xr3:uid="{41083949-937C-B047-A4DF-B9B1E13191E4}" name="time value" dataDxfId="272"/>
    <tableColumn id="8" xr3:uid="{74CD6003-6F7B-094E-814F-E0DB54702A65}" name="reference wisle" dataDxfId="271"/>
    <tableColumn id="9" xr3:uid="{6C83B274-2704-EA4A-A491-716355B0A88E}" name="Task" dataDxfId="270"/>
    <tableColumn id="10" xr3:uid="{77563502-8CCA-4D44-AC60-471D39614E88}" name="System UI" dataDxfId="26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2B3E71C-D17F-7F4B-AC54-B62CA54205D7}" name="GENERAL_D" displayName="GENERAL_D" ref="A1:K9" totalsRowShown="0" tableBorderDxfId="268">
  <autoFilter ref="A1:K9" xr:uid="{78E923BF-BF72-B644-99BB-3667E911EE9D}"/>
  <tableColumns count="11">
    <tableColumn id="2" xr3:uid="{5FF7CFD6-CA94-2E43-A65A-E87023E50B27}" name="Service ID"/>
    <tableColumn id="1" xr3:uid="{97798F08-AA25-524D-BCE9-1F8BEBAC3269}" name="Role"/>
    <tableColumn id="13" xr3:uid="{52E5ABB1-1EA3-B046-974E-59DD0230AB3A}" name="Distribution"/>
    <tableColumn id="14" xr3:uid="{6DA44C27-2FB9-BE40-9763-2D74CE00F41E}" name="Match" dataDxfId="267">
      <calculatedColumnFormula>#REF!</calculatedColumnFormula>
    </tableColumn>
    <tableColumn id="7" xr3:uid="{A0259997-4ED6-864A-90E7-DB9480FB117A}" name="Real IBC Time" dataDxfId="266">
      <calculatedColumnFormula array="1">_xlfn.IFS(GENERAL_D[[#This Row],[reference wisle]]="KO",#REF!+(GENERAL_D[[#This Row],[Time to KO]]/1440),GENERAL_D[[#This Row],[reference wisle]]="FW",#REF!+(GENERAL_D[[#This Row],[Time to KO]]/1440),GENERAL_D[[#This Row],[reference wisle]]="EOD","End of Day")</calculatedColumnFormula>
    </tableColumn>
    <tableColumn id="6" xr3:uid="{82E9597C-8B14-6441-B3DF-94C448DF609B}" name="Time to KO" dataDxfId="265">
      <calculatedColumnFormula>GENERAL_D[[#This Row],[time value]]*GENERAL_D[[#This Row],[multiplicator]]</calculatedColumnFormula>
    </tableColumn>
    <tableColumn id="12" xr3:uid="{7B8EE228-CFAB-824E-B079-646C1F1D14E0}" name="multiplicator"/>
    <tableColumn id="11" xr3:uid="{0078533E-59F0-5546-9589-6095D826920C}" name="time value" dataDxfId="264"/>
    <tableColumn id="8" xr3:uid="{5CBF8D70-E3CD-094F-AEEC-648500935CBC}" name="reference wisle" dataDxfId="263"/>
    <tableColumn id="9" xr3:uid="{D8702B1F-AD5D-3B46-A145-6CAB0412E9E9}" name="Task" dataDxfId="262"/>
    <tableColumn id="10" xr3:uid="{A1DDCB1E-F782-F941-8EC0-1F556EE20762}" name="System UI" dataDxfId="26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27E7ED-AA55-6648-A16B-65F3D7B0C70D}" name="DCL_1" displayName="DCL_1" ref="A1:K12" totalsRowShown="0">
  <autoFilter ref="A1:K12" xr:uid="{265C75E4-6ADA-2349-9897-D71E602C56DC}"/>
  <tableColumns count="11">
    <tableColumn id="1" xr3:uid="{0D974EE1-4253-7443-A6E2-1EAB342A0E0C}" name="Service ID"/>
    <tableColumn id="2" xr3:uid="{3707AFA8-B584-5949-AF52-644BE35A79F2}" name="Role"/>
    <tableColumn id="13" xr3:uid="{08FED989-C76F-4C45-88DF-E28B07FC58CD}" name="Distribution" dataDxfId="260">
      <calculatedColumnFormula>#REF!</calculatedColumnFormula>
    </tableColumn>
    <tableColumn id="14" xr3:uid="{C5E3F70A-7283-4B4A-91B8-772C3A48BDF1}" name="Match" dataDxfId="259">
      <calculatedColumnFormula>#REF!</calculatedColumnFormula>
    </tableColumn>
    <tableColumn id="9" xr3:uid="{D293142D-987E-9648-99FA-2648134AAC57}" name="Real IBC Time" dataDxfId="258">
      <calculatedColumnFormula array="1">_xlfn.IFS(DCL_1[[#This Row],[reference wisle]]="KO",#REF!+(DCL_1[[#This Row],[Time to KO]]/1440),DCL_1[[#This Row],[reference wisle]]="FW",#REF!+(DCL_1[[#This Row],[Time to KO]]/1440),DCL_1[[#This Row],[reference wisle]]="EOD","End of Day")</calculatedColumnFormula>
    </tableColumn>
    <tableColumn id="3" xr3:uid="{0D585779-2101-0C48-9FAB-E45FBC4358DE}" name="Time to KO" dataDxfId="257">
      <calculatedColumnFormula>DCL_1[[#This Row],[time value]]*DCL_1[[#This Row],[multiplicator]]</calculatedColumnFormula>
    </tableColumn>
    <tableColumn id="12" xr3:uid="{34BAA134-6A64-D34B-973B-602800153730}" name="multiplicator" dataDxfId="256"/>
    <tableColumn id="11" xr3:uid="{884E4CDD-A8EC-804E-ABF1-30D8BCC6220F}" name="time value" dataDxfId="255"/>
    <tableColumn id="10" xr3:uid="{EF380C7A-E86C-C143-9CFD-349C78EA3A44}" name="reference wisle" dataDxfId="254"/>
    <tableColumn id="4" xr3:uid="{B0E786CB-93FA-FA4F-9710-35D8CCFA6903}" name="Task" dataDxfId="253"/>
    <tableColumn id="5" xr3:uid="{78E5F6D1-658F-D84E-B814-839E9030DDD5}" name="System UI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DEC8288-DEA9-8F4A-B286-CE930175377E}" name="DCL_2" displayName="DCL_2" ref="A1:K12" totalsRowShown="0">
  <autoFilter ref="A1:K12" xr:uid="{265C75E4-6ADA-2349-9897-D71E602C56DC}"/>
  <tableColumns count="11">
    <tableColumn id="1" xr3:uid="{3E444B22-3F9E-DE48-B484-E3B4FB8686F4}" name="Service ID"/>
    <tableColumn id="2" xr3:uid="{6EA13E1F-9169-CC48-8628-5A654837846D}" name="Role"/>
    <tableColumn id="13" xr3:uid="{B39097DA-1BF3-BC42-B298-20D52E58A14C}" name="Distribution">
      <calculatedColumnFormula>#REF!</calculatedColumnFormula>
    </tableColumn>
    <tableColumn id="14" xr3:uid="{39BAF0C9-3D64-1548-B995-0934F880C616}" name="Match" dataDxfId="252">
      <calculatedColumnFormula>#REF!</calculatedColumnFormula>
    </tableColumn>
    <tableColumn id="9" xr3:uid="{8F592EBD-C229-1D4B-A0F4-09BA2867BCB9}" name="Real IBC Time" dataDxfId="251">
      <calculatedColumnFormula array="1">_xlfn.IFS(DCL_2[[#This Row],[reference wisle]]="KO",#REF!+(DCL_2[[#This Row],[Time to KO]]/1440),DCL_2[[#This Row],[reference wisle]]="FW",#REF!+(DCL_2[[#This Row],[Time to KO]]/1440),DCL_2[[#This Row],[reference wisle]]="EOD","End of Day")</calculatedColumnFormula>
    </tableColumn>
    <tableColumn id="3" xr3:uid="{15AAF2BE-8AB1-3B46-8C91-D92267E6BC08}" name="Time to KO" dataDxfId="250">
      <calculatedColumnFormula>DCL_2[[#This Row],[time value]]*DCL_2[[#This Row],[multiplicator]]</calculatedColumnFormula>
    </tableColumn>
    <tableColumn id="12" xr3:uid="{ED21FE31-A952-F542-AC60-92FF10030C50}" name="multiplicator" dataDxfId="249"/>
    <tableColumn id="11" xr3:uid="{53B50B59-3CE5-744B-9F8E-D4D395F0DFB0}" name="time value" dataDxfId="248"/>
    <tableColumn id="10" xr3:uid="{FFEC77EA-CB95-8D44-A6AB-20B00CE832F3}" name="reference wisle" dataDxfId="247"/>
    <tableColumn id="4" xr3:uid="{954365F6-F065-864A-99E4-7D79EC04925F}" name="Task" dataDxfId="246"/>
    <tableColumn id="5" xr3:uid="{67395512-E0B0-8040-911E-499B65AF5362}" name="System UI" dataDxfId="24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392E5A-9EF6-2145-B5D9-508EB34ED378}" name="DCL_3" displayName="DCL_3" ref="A1:K13" totalsRowShown="0">
  <autoFilter ref="A1:K13" xr:uid="{265C75E4-6ADA-2349-9897-D71E602C56DC}"/>
  <tableColumns count="11">
    <tableColumn id="1" xr3:uid="{A902CA7E-A61E-5342-B007-CC8013917975}" name="Service ID"/>
    <tableColumn id="2" xr3:uid="{5463134C-0EE5-124F-BAF8-9E02B4B5DF32}" name="Role"/>
    <tableColumn id="13" xr3:uid="{9C3B0742-0413-0342-9104-8808BF765CF3}" name="Distribution">
      <calculatedColumnFormula>#REF!</calculatedColumnFormula>
    </tableColumn>
    <tableColumn id="14" xr3:uid="{93D4D773-B587-8E4D-85E1-C5D32FE73246}" name="Match" dataDxfId="244">
      <calculatedColumnFormula>#REF!</calculatedColumnFormula>
    </tableColumn>
    <tableColumn id="9" xr3:uid="{09FC2481-C6CA-CA4F-8CA0-78C5E49954C3}" name="Real IBC Time" dataDxfId="243">
      <calculatedColumnFormula array="1">_xlfn.IFS(DCL_3[[#This Row],[reference wisle]]="KO",#REF!+(DCL_3[[#This Row],[Time to KO]]/1440),DCL_3[[#This Row],[reference wisle]]="FW",#REF!+(DCL_3[[#This Row],[Time to KO]]/1440),DCL_3[[#This Row],[reference wisle]]="EOD","End of Day")</calculatedColumnFormula>
    </tableColumn>
    <tableColumn id="3" xr3:uid="{E8070592-9588-654D-8E48-A0F7B14DA7F9}" name="Time to KO" dataDxfId="242">
      <calculatedColumnFormula>DCL_3[[#This Row],[time value]]*DCL_3[[#This Row],[multiplicator]]</calculatedColumnFormula>
    </tableColumn>
    <tableColumn id="12" xr3:uid="{A12FFD97-81D7-6A42-B81F-F47622CCFBE4}" name="multiplicator" dataDxfId="241"/>
    <tableColumn id="11" xr3:uid="{7865450D-38DB-144D-86AB-68865BFAFFC4}" name="time value" dataDxfId="240"/>
    <tableColumn id="10" xr3:uid="{EC19F292-E0F7-BF4B-AF45-5006501A16D3}" name="reference wisle" dataDxfId="239"/>
    <tableColumn id="4" xr3:uid="{CBBB041C-8A81-174A-A5AE-1C8B8D71206C}" name="Task" dataDxfId="238"/>
    <tableColumn id="5" xr3:uid="{586E3886-31FB-DF45-8A92-E42A484F93D9}" name="System UI" dataDxfId="23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A8E1784-E12D-414C-B076-0F8D060F5D4D}" name="DCL_4" displayName="DCL_4" ref="A1:K13" totalsRowShown="0">
  <autoFilter ref="A1:K13" xr:uid="{265C75E4-6ADA-2349-9897-D71E602C56DC}"/>
  <tableColumns count="11">
    <tableColumn id="1" xr3:uid="{B4E2F7C0-8790-2946-B5C5-45897B8374A5}" name="Service ID"/>
    <tableColumn id="2" xr3:uid="{8D99D7A9-387C-504B-A9D3-69134A62538C}" name="Role"/>
    <tableColumn id="13" xr3:uid="{5B374E58-7093-E34B-AD02-AF9DE9811E7F}" name="Distribution">
      <calculatedColumnFormula>#REF!</calculatedColumnFormula>
    </tableColumn>
    <tableColumn id="14" xr3:uid="{BBC466AE-5FCF-3D40-899C-E5DFC52689DA}" name="Match" dataDxfId="236">
      <calculatedColumnFormula>#REF!</calculatedColumnFormula>
    </tableColumn>
    <tableColumn id="9" xr3:uid="{A9D3F029-03A6-9845-B88E-5BE057CFE70F}" name="Real IBC Time" dataDxfId="235">
      <calculatedColumnFormula array="1">_xlfn.IFS(DCL_4[[#This Row],[reference wisle]]="KO",#REF!+(DCL_4[[#This Row],[Time to KO]]/1440),DCL_4[[#This Row],[reference wisle]]="FW",#REF!+(DCL_4[[#This Row],[Time to KO]]/1440),DCL_4[[#This Row],[reference wisle]]="EOD","End of Day")</calculatedColumnFormula>
    </tableColumn>
    <tableColumn id="3" xr3:uid="{71DE0780-FB6E-F040-AA83-2E56D09ADE0F}" name="Time to KO" dataDxfId="234">
      <calculatedColumnFormula>DCL_4[[#This Row],[time value]]*DCL_4[[#This Row],[multiplicator]]</calculatedColumnFormula>
    </tableColumn>
    <tableColumn id="12" xr3:uid="{EB441926-85BF-E249-BADE-1213A4DD569B}" name="multiplicator" dataDxfId="233"/>
    <tableColumn id="11" xr3:uid="{053B7984-00CD-D84C-8BC8-6BBF9DD0E598}" name="time value" dataDxfId="232"/>
    <tableColumn id="10" xr3:uid="{0AFC034D-74C7-144D-AD18-DC060DF16BA3}" name="reference wisle" dataDxfId="231"/>
    <tableColumn id="4" xr3:uid="{49BB7B3C-F279-3D4C-9F45-F547E81CBD83}" name="Task" dataDxfId="230"/>
    <tableColumn id="5" xr3:uid="{ED18EEF0-C874-DD48-9803-E237588DB0ED}" name="System UI" dataDxfId="22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C8B52EB-A88B-9B4A-9364-FCDB3A2F010C}" name="DCL_5" displayName="DCL_5" ref="A1:K19" totalsRowShown="0">
  <autoFilter ref="A1:K19" xr:uid="{265C75E4-6ADA-2349-9897-D71E602C56DC}"/>
  <tableColumns count="11">
    <tableColumn id="1" xr3:uid="{6DD8EFA2-6B8C-4B4E-A058-78D3DF7FC8C0}" name="Service ID"/>
    <tableColumn id="2" xr3:uid="{CBA952A0-D429-914B-81F0-B79060850909}" name="Role"/>
    <tableColumn id="13" xr3:uid="{7A49DF08-D5E0-4947-9997-78CE5A7749B8}" name="Distribution">
      <calculatedColumnFormula>#REF!</calculatedColumnFormula>
    </tableColumn>
    <tableColumn id="14" xr3:uid="{7CBA0D52-8AF2-F74B-AF33-6CA5B1AA0213}" name="Match" dataDxfId="228">
      <calculatedColumnFormula>#REF!</calculatedColumnFormula>
    </tableColumn>
    <tableColumn id="9" xr3:uid="{4D6485E4-2BA1-C94D-8528-3E93CC8CE442}" name="Real IBC Time" dataDxfId="227">
      <calculatedColumnFormula array="1">_xlfn.IFS(DCL_5[[#This Row],[reference wisle]]="KO",#REF!+(DCL_5[[#This Row],[Time to KO]]/1440),DCL_5[[#This Row],[reference wisle]]="FW",#REF!+(DCL_5[[#This Row],[Time to KO]]/1440),DCL_5[[#This Row],[reference wisle]]="EOD","End of Day")</calculatedColumnFormula>
    </tableColumn>
    <tableColumn id="3" xr3:uid="{42FBA3CF-F852-2C4D-8D16-E82FFF088DA1}" name="Time to KO" dataDxfId="226">
      <calculatedColumnFormula>DCL_5[[#This Row],[time value]]*DCL_5[[#This Row],[multiplicator]]</calculatedColumnFormula>
    </tableColumn>
    <tableColumn id="12" xr3:uid="{7DA9BA70-0B14-AB4D-98F6-984DDFDAAD19}" name="multiplicator" dataDxfId="225"/>
    <tableColumn id="11" xr3:uid="{98F9D412-86DB-124F-ABCF-2B35A48783B7}" name="time value" dataDxfId="224"/>
    <tableColumn id="10" xr3:uid="{1853E050-F74A-7544-B6D2-273043A57D8F}" name="reference wisle" dataDxfId="223"/>
    <tableColumn id="4" xr3:uid="{F67614B3-F537-124F-990E-0BF802F2BF5B}" name="Task" dataDxfId="222"/>
    <tableColumn id="5" xr3:uid="{21D76604-F19E-ED4C-A171-2D658D8A86E0}" name="System UI" dataDxfId="22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86D124-BAD6-D142-82C1-DDA3C6E00E6F}" name="ANTIP_A" displayName="ANTIP_A" ref="A1:K13" totalsRowShown="0">
  <autoFilter ref="A1:K13" xr:uid="{265C75E4-6ADA-2349-9897-D71E602C56DC}"/>
  <tableColumns count="11">
    <tableColumn id="1" xr3:uid="{63869F74-C5F9-134B-B3F0-86A7106454F6}" name="Service ID"/>
    <tableColumn id="2" xr3:uid="{0D01FE8F-B613-714F-A3A5-EA4351FAAEF0}" name="Role"/>
    <tableColumn id="13" xr3:uid="{84DFE045-15CD-3B4E-B09D-B00F6E751678}" name="Distribution"/>
    <tableColumn id="14" xr3:uid="{B55DFE22-05CC-4C49-A011-D1EEAE691735}" name="Match" dataDxfId="220">
      <calculatedColumnFormula>#REF!</calculatedColumnFormula>
    </tableColumn>
    <tableColumn id="9" xr3:uid="{50A88BBD-1E21-7746-8236-E5E8E297B54C}" name="Real IBC Time" dataDxfId="219">
      <calculatedColumnFormula array="1">_xlfn.IFS(ANTIP_A[[#This Row],[reference wisle]]="KO",#REF!+(ANTIP_A[[#This Row],[Time to KO]]/1440),ANTIP_A[[#This Row],[reference wisle]]="FW",#REF!+(ANTIP_A[[#This Row],[Time to KO]]/1440),ANTIP_A[[#This Row],[reference wisle]]="EOD","End of Day")</calculatedColumnFormula>
    </tableColumn>
    <tableColumn id="3" xr3:uid="{63671BCF-AB08-C146-9D46-6B75AE79D7CE}" name="Time to KO" dataDxfId="218">
      <calculatedColumnFormula>ANTIP_A[[#This Row],[time value]]*ANTIP_A[[#This Row],[multiplicator]]</calculatedColumnFormula>
    </tableColumn>
    <tableColumn id="10" xr3:uid="{49893E8E-1665-1344-87B0-1866E1FE538F}" name="multiplicator" dataDxfId="217"/>
    <tableColumn id="11" xr3:uid="{F1EE7E78-A28F-6E4A-A3E1-A24865729167}" name="time value" dataDxfId="216"/>
    <tableColumn id="12" xr3:uid="{9B5029E6-50F9-0D49-84B3-DBC3E3BC71C7}" name="reference wisle" dataDxfId="215"/>
    <tableColumn id="4" xr3:uid="{8BEE4EB7-2718-5046-92BE-A94CE1600818}" name="Task"/>
    <tableColumn id="5" xr3:uid="{39251F33-3355-FE48-A571-350082203C37}" name="System UI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7017A7-4BE6-7648-B292-4955581BB911}" name="ANTIP_B" displayName="ANTIP_B" ref="A1:K13" totalsRowShown="0">
  <autoFilter ref="A1:K13" xr:uid="{265C75E4-6ADA-2349-9897-D71E602C56DC}"/>
  <tableColumns count="11">
    <tableColumn id="1" xr3:uid="{CC0CA1E9-76C3-D34D-8947-104190778BFB}" name="Service ID"/>
    <tableColumn id="2" xr3:uid="{D23A1723-50AF-1842-856C-A0B1F97746E7}" name="Role"/>
    <tableColumn id="13" xr3:uid="{3799FE2D-CF79-A04A-921D-98A44E052153}" name="Distribution"/>
    <tableColumn id="14" xr3:uid="{CBAD34F0-13A8-944F-96B5-2F8E83343629}" name="Match">
      <calculatedColumnFormula>#REF!</calculatedColumnFormula>
    </tableColumn>
    <tableColumn id="9" xr3:uid="{6F82DF5C-98B0-4847-AC5A-2FB112203EB1}" name="Real IBC Time" dataDxfId="214">
      <calculatedColumnFormula array="1">_xlfn.IFS(ANTIP_B[[#This Row],[reference wisle]]="KO",#REF!+(ANTIP_B[[#This Row],[Time to KO]]/1440),ANTIP_B[[#This Row],[reference wisle]]="FW",#REF!+(ANTIP_B[[#This Row],[Time to KO]]/1440),ANTIP_B[[#This Row],[reference wisle]]="EOD","End of Day")</calculatedColumnFormula>
    </tableColumn>
    <tableColumn id="3" xr3:uid="{B362C1E7-D9ED-A541-8FF4-DF1D8DDC8FAF}" name="Time to KO" dataDxfId="213">
      <calculatedColumnFormula>ANTIP_B[[#This Row],[time value]]*ANTIP_B[[#This Row],[multiplicator]]</calculatedColumnFormula>
    </tableColumn>
    <tableColumn id="12" xr3:uid="{B5301904-FFA4-6341-88AE-87950986F358}" name="multiplicator" dataDxfId="212"/>
    <tableColumn id="11" xr3:uid="{D5F467CF-9CAE-834A-A6A1-2AC73EB344F0}" name="time value" dataDxfId="211"/>
    <tableColumn id="10" xr3:uid="{668DA95A-D134-904E-B5A5-DF2232AA6F13}" name="reference wisle" dataDxfId="210"/>
    <tableColumn id="4" xr3:uid="{8C808C6F-B2C3-AF44-8F68-1D1B9CAA3E2A}" name="Task"/>
    <tableColumn id="5" xr3:uid="{CDD5E70E-4F92-5247-A522-7E6B4C11EE87}" name="System UI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B275CB-9A14-4341-A9DD-FAECCC7C1E96}" name="ANTIP_C" displayName="ANTIP_C" ref="A1:K13" totalsRowShown="0">
  <autoFilter ref="A1:K13" xr:uid="{265C75E4-6ADA-2349-9897-D71E602C56DC}"/>
  <tableColumns count="11">
    <tableColumn id="1" xr3:uid="{14D48675-AED5-394F-9D3E-B1C0C9558637}" name="Service ID"/>
    <tableColumn id="2" xr3:uid="{ED7A4783-FF24-9F47-914D-B1C69D555D66}" name="Role"/>
    <tableColumn id="13" xr3:uid="{20AFCAE5-E794-7349-B3FB-9C1CAE14E3FA}" name="Distribution"/>
    <tableColumn id="14" xr3:uid="{4F5DA0E6-6790-8E4C-A119-E227D77E5496}" name="Match">
      <calculatedColumnFormula>#REF!</calculatedColumnFormula>
    </tableColumn>
    <tableColumn id="9" xr3:uid="{F7F4E0D6-AD60-C545-86AD-F42D2B6F9A43}" name="Real IBC Time" dataDxfId="209">
      <calculatedColumnFormula array="1">_xlfn.IFS(ANTIP_C[[#This Row],[reference wisle]]="KO",#REF!+(ANTIP_C[[#This Row],[Time to KO]]/1440),ANTIP_C[[#This Row],[reference wisle]]="FW",#REF!+(ANTIP_C[[#This Row],[Time to KO]]/1440),ANTIP_C[[#This Row],[reference wisle]]="EOD","End of Day")</calculatedColumnFormula>
    </tableColumn>
    <tableColumn id="3" xr3:uid="{61FA4115-9F8F-EE48-A2C4-10AB25466569}" name="Time to KO" dataDxfId="208">
      <calculatedColumnFormula>ANTIP_C[[#This Row],[time value]]*ANTIP_C[[#This Row],[multiplicator]]</calculatedColumnFormula>
    </tableColumn>
    <tableColumn id="12" xr3:uid="{B7A50344-13BF-2941-AEF2-74E9390CD091}" name="multiplicator" dataDxfId="207"/>
    <tableColumn id="11" xr3:uid="{7A885AD0-44D4-C64F-86AF-38FA1A405ED8}" name="time value" dataDxfId="206"/>
    <tableColumn id="10" xr3:uid="{FE52E772-D649-F442-9129-56308096E2ED}" name="reference wisle" dataDxfId="205"/>
    <tableColumn id="4" xr3:uid="{26ED84DB-3FD8-2540-AEB6-E87AFD1078BD}" name="Task"/>
    <tableColumn id="5" xr3:uid="{EA37C81C-BA53-4E4F-8EB3-232ECFBF203E}" name="System UI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B827FF2-E2BC-7346-9238-9C2F5967D4CA}" name="ANTIP_D" displayName="ANTIP_D" ref="A1:K13" totalsRowShown="0">
  <autoFilter ref="A1:K13" xr:uid="{265C75E4-6ADA-2349-9897-D71E602C56DC}"/>
  <tableColumns count="11">
    <tableColumn id="1" xr3:uid="{10B30699-ACD6-6E47-8DD4-8690E6AE9B6A}" name="Service ID"/>
    <tableColumn id="2" xr3:uid="{02DEE3DB-F49D-6542-AA81-AE34609FE3BA}" name="Role"/>
    <tableColumn id="13" xr3:uid="{22C649E8-E6C7-F04D-91E4-A5E89512AA7D}" name="Distribution"/>
    <tableColumn id="14" xr3:uid="{E76E166D-79B5-2B48-96CF-3C08197EA0FC}" name="Match">
      <calculatedColumnFormula>#REF!</calculatedColumnFormula>
    </tableColumn>
    <tableColumn id="9" xr3:uid="{9AF97C8C-4369-5A4F-B50D-0AB35E576332}" name="Real IBC Time" dataDxfId="204">
      <calculatedColumnFormula array="1">_xlfn.IFS(ANTIP_D[[#This Row],[reference wisle]]="KO",#REF!+(ANTIP_D[[#This Row],[Time to KO]]/1440),ANTIP_D[[#This Row],[reference wisle]]="FW",#REF!+(ANTIP_D[[#This Row],[Time to KO]]/1440),ANTIP_D[[#This Row],[reference wisle]]="EOD","End of Day")</calculatedColumnFormula>
    </tableColumn>
    <tableColumn id="3" xr3:uid="{793ED145-BC8E-3C4C-BF7D-708217274971}" name="Time to KO" dataDxfId="203">
      <calculatedColumnFormula>ANTIP_D[[#This Row],[time value]]*ANTIP_D[[#This Row],[multiplicator]]</calculatedColumnFormula>
    </tableColumn>
    <tableColumn id="12" xr3:uid="{D930D343-FE49-354F-B16C-E4AF17D184CF}" name="multiplicator" dataDxfId="202"/>
    <tableColumn id="11" xr3:uid="{3CC1FA55-0C55-1B44-921D-863D1D9B2510}" name="time value" dataDxfId="201"/>
    <tableColumn id="10" xr3:uid="{FF7EB963-1B49-5549-AF5F-F7C2D6BFD4C8}" name="reference wisle" dataDxfId="200"/>
    <tableColumn id="4" xr3:uid="{90DC7632-343B-AF4D-9645-E3F4DF8ABD9C}" name="Task"/>
    <tableColumn id="5" xr3:uid="{72F888A1-6399-984C-B96A-0D676D90E4D1}" name="System UI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499DE8-4DB9-1047-9059-A6074EA9B49F}" name="FCO_A" displayName="FCO_A" ref="A1:K20" totalsRowShown="0">
  <autoFilter ref="A1:K20" xr:uid="{265C75E4-6ADA-2349-9897-D71E602C56DC}"/>
  <tableColumns count="11">
    <tableColumn id="1" xr3:uid="{CCF65790-8C0B-6242-895D-087E2DDD404F}" name="Service ID"/>
    <tableColumn id="2" xr3:uid="{529274BF-FD05-104E-81C5-793C570E8B84}" name="Role"/>
    <tableColumn id="13" xr3:uid="{88C8F18F-BDF0-EF41-9BE7-39FF7EB60790}" name="Distribution"/>
    <tableColumn id="14" xr3:uid="{7561A66E-32E7-0345-84D9-459F36A5C7FE}" name="Match" dataDxfId="199">
      <calculatedColumnFormula>#REF!</calculatedColumnFormula>
    </tableColumn>
    <tableColumn id="9" xr3:uid="{F0C23773-F982-6B4E-AC5C-319E02CC2177}" name="Real IBC Time" dataDxfId="198">
      <calculatedColumnFormula array="1">_xlfn.IFS(FCO_A[[#This Row],[reference wisle]]="KO",#REF!+(FCO_A[[#This Row],[Time to KO]]/1440),FCO_A[[#This Row],[reference wisle]]="FW",#REF!+(FCO_A[[#This Row],[Time to KO]]/1440),FCO_A[[#This Row],[reference wisle]]="EOD","End of Day")</calculatedColumnFormula>
    </tableColumn>
    <tableColumn id="3" xr3:uid="{3A9DC09C-DBEB-F542-86D9-2101A8DD623C}" name="Time to KO" dataDxfId="197">
      <calculatedColumnFormula>FCO_A[[#This Row],[time value]]*FCO_A[[#This Row],[multiplicator]]</calculatedColumnFormula>
    </tableColumn>
    <tableColumn id="12" xr3:uid="{7E0692AB-9083-E348-B49A-AEF3BB593C3C}" name="multiplicator" dataDxfId="196"/>
    <tableColumn id="11" xr3:uid="{DB80A1DC-319B-4846-B30C-7733F1D512BD}" name="time value" dataDxfId="195"/>
    <tableColumn id="10" xr3:uid="{7072A991-970E-7843-B935-DC0B2401709B}" name="reference wisle" dataDxfId="194"/>
    <tableColumn id="4" xr3:uid="{EF40D572-A832-5546-B6FA-73D3E0E6CD90}" name="Task"/>
    <tableColumn id="5" xr3:uid="{9F41AA5B-BCB9-FE4E-92D4-8B18FDEE04D2}" name="System UI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B5A5FB-27F7-6142-BC06-9053C978DCE6}" name="FCO_B" displayName="FCO_B" ref="A1:K20" totalsRowShown="0">
  <autoFilter ref="A1:K20" xr:uid="{265C75E4-6ADA-2349-9897-D71E602C56DC}"/>
  <tableColumns count="11">
    <tableColumn id="1" xr3:uid="{8D56FF1B-5477-6E47-B6ED-3D7867C4130B}" name="Service ID"/>
    <tableColumn id="2" xr3:uid="{BF011578-0C78-5B4A-9D83-0CBE4B70D86E}" name="Role"/>
    <tableColumn id="13" xr3:uid="{474E2DB0-2E7D-244B-A5C0-E3DEF157E5C8}" name="Distribution"/>
    <tableColumn id="14" xr3:uid="{AF572B1D-FFCE-5F40-9814-5C77E8EAE25D}" name="Match">
      <calculatedColumnFormula>#REF!</calculatedColumnFormula>
    </tableColumn>
    <tableColumn id="9" xr3:uid="{5C6F2740-8380-8B4B-B0A8-92FA170160DC}" name="Real IBC Time" dataDxfId="193">
      <calculatedColumnFormula array="1">_xlfn.IFS(FCO_B[[#This Row],[reference wisle]]="KO",#REF!+(FCO_B[[#This Row],[Time to KO]]/1440),FCO_B[[#This Row],[reference wisle]]="FW",#REF!+(FCO_B[[#This Row],[Time to KO]]/1440),FCO_B[[#This Row],[reference wisle]]="EOD","End of Day")</calculatedColumnFormula>
    </tableColumn>
    <tableColumn id="3" xr3:uid="{4144A16A-9590-F744-A90D-1F576716DBC6}" name="Time to KO" dataDxfId="192">
      <calculatedColumnFormula>FCO_B[[#This Row],[time value]]*FCO_B[[#This Row],[multiplicator]]</calculatedColumnFormula>
    </tableColumn>
    <tableColumn id="12" xr3:uid="{B4417A60-8D46-9C4F-9C91-EBCD173C54A7}" name="multiplicator" dataDxfId="191"/>
    <tableColumn id="11" xr3:uid="{747CB7CB-2DDB-4547-AC12-E59DD744C2EA}" name="time value" dataDxfId="190"/>
    <tableColumn id="10" xr3:uid="{26D7F9D1-0788-334D-A3FE-6AA45882CE25}" name="reference wisle" dataDxfId="189"/>
    <tableColumn id="4" xr3:uid="{093FDF5D-63CC-2A4E-9A8F-D3ABF0503F7A}" name="Task" dataDxfId="188"/>
    <tableColumn id="5" xr3:uid="{67E3F40C-17C8-B645-8858-F43D463E1E42}" name="System UI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7A7D4B-98DF-F046-A020-E7FADFF9EBF2}" name="FCO_C" displayName="FCO_C" ref="A1:K20" totalsRowShown="0">
  <autoFilter ref="A1:K20" xr:uid="{265C75E4-6ADA-2349-9897-D71E602C56DC}"/>
  <tableColumns count="11">
    <tableColumn id="1" xr3:uid="{DE386775-E44C-CE4B-998E-AC9191220B80}" name="Service ID"/>
    <tableColumn id="2" xr3:uid="{D9149F75-9393-1548-B0E7-1684F9AACEB7}" name="Role"/>
    <tableColumn id="13" xr3:uid="{F8E5EC09-1A03-B842-B762-437C57B0A914}" name="Distribution"/>
    <tableColumn id="14" xr3:uid="{99890E4E-AF9D-5140-BB59-4AC14C6D3095}" name="Match">
      <calculatedColumnFormula>#REF!</calculatedColumnFormula>
    </tableColumn>
    <tableColumn id="9" xr3:uid="{35B99BBC-1E38-E142-8B7D-90A9C4EE1876}" name="Real IBC Time" dataDxfId="187">
      <calculatedColumnFormula array="1">_xlfn.IFS(FCO_C[[#This Row],[reference wisle]]="KO",#REF!+(FCO_C[[#This Row],[Time to KO]]/1440),FCO_C[[#This Row],[reference wisle]]="FW",#REF!+(FCO_C[[#This Row],[Time to KO]]/1440),FCO_C[[#This Row],[reference wisle]]="EOD","End of Day")</calculatedColumnFormula>
    </tableColumn>
    <tableColumn id="3" xr3:uid="{B2AFF1A3-6CCD-4143-982F-88C1A4752FF0}" name="Time to KO" dataDxfId="186">
      <calculatedColumnFormula>FCO_C[[#This Row],[time value]]*FCO_C[[#This Row],[multiplicator]]</calculatedColumnFormula>
    </tableColumn>
    <tableColumn id="12" xr3:uid="{76EDBF96-4DFA-704F-A26C-ECD72A5F3F6F}" name="multiplicator" dataDxfId="185"/>
    <tableColumn id="11" xr3:uid="{18A34925-9128-0D43-B86F-55DA97B2478D}" name="time value" dataDxfId="184"/>
    <tableColumn id="10" xr3:uid="{47070438-711F-C14E-915F-C92FCAA3327B}" name="reference wisle" dataDxfId="183"/>
    <tableColumn id="4" xr3:uid="{CD74E579-FCCB-4C4C-9801-BEDB37A200C0}" name="Task" dataDxfId="182"/>
    <tableColumn id="5" xr3:uid="{061F02DA-B18B-5D4E-AD5B-BC143062B011}" name="System UI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5ADC599-4FEF-7A45-99BA-89B163DAB2EF}" name="FCO_D" displayName="FCO_D" ref="A1:K20" totalsRowShown="0">
  <autoFilter ref="A1:K20" xr:uid="{265C75E4-6ADA-2349-9897-D71E602C56DC}"/>
  <tableColumns count="11">
    <tableColumn id="1" xr3:uid="{6E82E150-F53C-3A40-A60A-E3C5B3CA37CB}" name="Service ID"/>
    <tableColumn id="2" xr3:uid="{C1241E95-8A88-844D-9EED-E2B75020FFA0}" name="Role"/>
    <tableColumn id="13" xr3:uid="{583670A1-26F5-E54C-96BE-5E02FD820BC7}" name="Distribution"/>
    <tableColumn id="14" xr3:uid="{8F9A976D-14AA-8C46-A8B9-14DF6C9B6FCF}" name="Match">
      <calculatedColumnFormula>#REF!</calculatedColumnFormula>
    </tableColumn>
    <tableColumn id="9" xr3:uid="{607F9C7C-9692-D84C-AEF6-BDB393C1F1D5}" name="Real IBC Time" dataDxfId="181">
      <calculatedColumnFormula array="1">_xlfn.IFS(FCO_D[[#This Row],[reference wisle]]="KO",#REF!+(FCO_D[[#This Row],[Time to KO]]/1440),FCO_D[[#This Row],[reference wisle]]="FW",#REF!+(FCO_D[[#This Row],[Time to KO]]/1440),FCO_D[[#This Row],[reference wisle]]="EOD","End of Day")</calculatedColumnFormula>
    </tableColumn>
    <tableColumn id="3" xr3:uid="{452F81CD-1862-B04F-802F-AE081E37989C}" name="Time to KO" dataDxfId="180">
      <calculatedColumnFormula>FCO_D[[#This Row],[time value]]*FCO_D[[#This Row],[multiplicator]]</calculatedColumnFormula>
    </tableColumn>
    <tableColumn id="12" xr3:uid="{300782AE-BAAA-F949-AE6D-B500303DBE97}" name="multiplicator" dataDxfId="179"/>
    <tableColumn id="11" xr3:uid="{CFA2EA0A-E82B-1D4F-B30F-67B8DD2EB6A6}" name="time value" dataDxfId="178"/>
    <tableColumn id="10" xr3:uid="{865DFA44-019F-6040-964A-3224996EA881}" name="reference wisle" dataDxfId="177"/>
    <tableColumn id="4" xr3:uid="{3D3D7F9A-8BBC-1545-970A-F552A3BA6AD2}" name="Task" dataDxfId="176"/>
    <tableColumn id="5" xr3:uid="{2018CEC7-8AFE-E34D-870B-31D5FEB7B644}" name="System UI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2D7BAF8-5262-EB43-8C56-1C1D1201D6E0}" name="RIS_A" displayName="RIS_A" ref="A1:K16" totalsRowShown="0">
  <autoFilter ref="A1:K16" xr:uid="{265C75E4-6ADA-2349-9897-D71E602C56DC}"/>
  <tableColumns count="11">
    <tableColumn id="1" xr3:uid="{06CF2C39-8392-414B-B4CC-B154CAF1E5C9}" name="Service ID"/>
    <tableColumn id="2" xr3:uid="{7D47DD7A-61DC-E746-902D-E2B59B9E40D7}" name="Role"/>
    <tableColumn id="13" xr3:uid="{521AF5CD-523D-144A-902C-98472741CE14}" name="Distribution"/>
    <tableColumn id="14" xr3:uid="{6FC86FD5-A20C-164D-BC3B-C5A93704B0FB}" name="Match" dataDxfId="175">
      <calculatedColumnFormula>#REF!</calculatedColumnFormula>
    </tableColumn>
    <tableColumn id="9" xr3:uid="{0E5D3C66-8D73-2448-AEF6-887EDFDB8C80}" name="Real IBC Time" dataDxfId="174">
      <calculatedColumnFormula array="1">_xlfn.IFS(RIS_A[[#This Row],[reference wisle]]="KO",#REF!+(RIS_A[[#This Row],[Time to KO]]/1440),RIS_A[[#This Row],[reference wisle]]="FW",#REF!+(RIS_A[[#This Row],[Time to KO]]/1440),RIS_A[[#This Row],[reference wisle]]="EOD","End of Day")</calculatedColumnFormula>
    </tableColumn>
    <tableColumn id="3" xr3:uid="{853F9D49-2E44-6043-B915-C06676C368FA}" name="Time to KO" dataDxfId="173">
      <calculatedColumnFormula>RIS_A[[#This Row],[time value]]*RIS_A[[#This Row],[multiplicator]]</calculatedColumnFormula>
    </tableColumn>
    <tableColumn id="12" xr3:uid="{5B1D7938-0657-3B4F-9586-2977D7F6D71F}" name="multiplicator" dataDxfId="172"/>
    <tableColumn id="11" xr3:uid="{498C2D2E-4A4E-A540-9931-191327925B77}" name="time value" dataDxfId="171"/>
    <tableColumn id="10" xr3:uid="{F555B3DA-D8BC-0040-B8AB-FBD3CD191310}" name="reference wisle" dataDxfId="170"/>
    <tableColumn id="4" xr3:uid="{9F6E2094-DD17-6245-BDA1-AE47D99F378B}" name="Task"/>
    <tableColumn id="5" xr3:uid="{D873BBD9-3F40-6C44-9AA1-6831B3561739}" name="System UI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2079F2-1625-704B-9FE6-B3150580D396}" name="RIS_B" displayName="RIS_B" ref="A1:K16" totalsRowShown="0">
  <autoFilter ref="A1:K16" xr:uid="{265C75E4-6ADA-2349-9897-D71E602C56DC}"/>
  <tableColumns count="11">
    <tableColumn id="1" xr3:uid="{731D3E1C-1403-D94C-89B3-D57A93AFF48C}" name="Service ID"/>
    <tableColumn id="2" xr3:uid="{1F3BCB73-F820-0A4A-8F0A-CBE668F8D557}" name="Role"/>
    <tableColumn id="13" xr3:uid="{91202F32-1042-1A41-92C6-064C65453EE5}" name="Distribution"/>
    <tableColumn id="14" xr3:uid="{76BB998F-5CA2-7E47-94D7-13B932AAF9C0}" name="Match">
      <calculatedColumnFormula>#REF!</calculatedColumnFormula>
    </tableColumn>
    <tableColumn id="9" xr3:uid="{7CBD4AF8-ED97-B444-AA87-CAAAA2990243}" name="Real IBC Time" dataDxfId="169">
      <calculatedColumnFormula array="1">_xlfn.IFS(RIS_B[[#This Row],[reference wisle]]="KO",#REF!+(RIS_B[[#This Row],[Time to KO]]/1440),RIS_B[[#This Row],[reference wisle]]="FW",#REF!+(RIS_B[[#This Row],[Time to KO]]/1440),RIS_B[[#This Row],[reference wisle]]="EOD","End of Day")</calculatedColumnFormula>
    </tableColumn>
    <tableColumn id="3" xr3:uid="{35C8CCD6-6372-284B-84CC-12680514E8AD}" name="Time to KO" dataDxfId="168">
      <calculatedColumnFormula>RIS_B[[#This Row],[time value]]*RIS_B[[#This Row],[multiplicator]]</calculatedColumnFormula>
    </tableColumn>
    <tableColumn id="12" xr3:uid="{A7ED2E9E-72DE-9049-A6E9-FC7643A1D0FA}" name="multiplicator" dataDxfId="167"/>
    <tableColumn id="11" xr3:uid="{61A7FCAF-E4CE-EA4A-992D-FC65802F1E39}" name="time value" dataDxfId="166"/>
    <tableColumn id="10" xr3:uid="{0191DF81-948F-5142-B1EE-FAC7BF762248}" name="reference wisle" dataDxfId="165"/>
    <tableColumn id="4" xr3:uid="{4B3CB69F-56B3-CB46-9CBC-833B5C9674C9}" name="Task"/>
    <tableColumn id="5" xr3:uid="{5B6549CF-CA64-3D45-8C57-E865A3659180}" name="System UI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4C97825-EB77-0B47-ADFC-650FF6619D7F}" name="RIS_C" displayName="RIS_C" ref="A1:K16" totalsRowShown="0">
  <autoFilter ref="A1:K16" xr:uid="{265C75E4-6ADA-2349-9897-D71E602C56DC}"/>
  <tableColumns count="11">
    <tableColumn id="1" xr3:uid="{CEB67F85-41E9-954C-BEDA-445AFDB142C8}" name="Service ID"/>
    <tableColumn id="2" xr3:uid="{E32F5934-B184-FF4A-8401-43F6D71F732D}" name="Role"/>
    <tableColumn id="13" xr3:uid="{E9B41B8B-CF76-354D-994D-11E9C39FB2C3}" name="Distribution"/>
    <tableColumn id="14" xr3:uid="{2B6EF76F-B807-7C48-8515-3385AF56C781}" name="Match">
      <calculatedColumnFormula>#REF!</calculatedColumnFormula>
    </tableColumn>
    <tableColumn id="9" xr3:uid="{6738D63F-C006-354C-9CF1-DE0AF6845EF5}" name="Real IBC Time" dataDxfId="164">
      <calculatedColumnFormula array="1">_xlfn.IFS(RIS_C[[#This Row],[reference wisle]]="KO",#REF!+(RIS_C[[#This Row],[Time to KO]]/1440),RIS_C[[#This Row],[reference wisle]]="FW",#REF!+(RIS_C[[#This Row],[Time to KO]]/1440),RIS_C[[#This Row],[reference wisle]]="EOD","End of Day")</calculatedColumnFormula>
    </tableColumn>
    <tableColumn id="3" xr3:uid="{24EC3987-3F21-9B46-9D7B-F932D3317B91}" name="Time to KO" dataDxfId="163">
      <calculatedColumnFormula>RIS_C[[#This Row],[time value]]*RIS_C[[#This Row],[multiplicator]]</calculatedColumnFormula>
    </tableColumn>
    <tableColumn id="12" xr3:uid="{703A4C26-F723-4C42-9EF5-072D69D4D505}" name="multiplicator" dataDxfId="162"/>
    <tableColumn id="11" xr3:uid="{E9CA9A44-5134-AA4F-B5C9-B167EB0EF498}" name="time value" dataDxfId="161"/>
    <tableColumn id="10" xr3:uid="{841774CB-C935-2B4E-BDD6-981769A570B9}" name="reference wisle" dataDxfId="160"/>
    <tableColumn id="4" xr3:uid="{FA264429-862F-AF4A-BD18-ED909145DFBC}" name="Task"/>
    <tableColumn id="5" xr3:uid="{558B08E0-B4D3-FD48-9A85-74390C885194}" name="System UI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44FB97E-CDDB-B747-9BDC-B3ED579A8349}" name="RIS_D" displayName="RIS_D" ref="A1:K16" totalsRowShown="0">
  <autoFilter ref="A1:K16" xr:uid="{265C75E4-6ADA-2349-9897-D71E602C56DC}"/>
  <tableColumns count="11">
    <tableColumn id="1" xr3:uid="{532C5679-801F-7A40-A75E-983A6940F0A2}" name="Service ID"/>
    <tableColumn id="2" xr3:uid="{FA50156F-EE17-D144-9D0B-DB86A65CA319}" name="Role"/>
    <tableColumn id="13" xr3:uid="{58B2AAC1-B73F-F54A-A826-E6CE3654B903}" name="Distribution"/>
    <tableColumn id="14" xr3:uid="{FCDB37C4-8B68-724C-BDCC-3C24934A4166}" name="Match">
      <calculatedColumnFormula>#REF!</calculatedColumnFormula>
    </tableColumn>
    <tableColumn id="9" xr3:uid="{3698F521-7536-8D41-96F6-FFDEB4D687F2}" name="Real IBC Time" dataDxfId="159">
      <calculatedColumnFormula array="1">_xlfn.IFS(RIS_D[[#This Row],[reference wisle]]="KO",#REF!+(RIS_D[[#This Row],[Time to KO]]/1440),RIS_D[[#This Row],[reference wisle]]="FW",#REF!+(RIS_D[[#This Row],[Time to KO]]/1440),RIS_D[[#This Row],[reference wisle]]="EOD","End of Day")</calculatedColumnFormula>
    </tableColumn>
    <tableColumn id="3" xr3:uid="{BF7B8773-00D8-B34C-A7F5-910E79981C34}" name="Time to KO" dataDxfId="158">
      <calculatedColumnFormula>RIS_D[[#This Row],[time value]]*RIS_D[[#This Row],[multiplicator]]</calculatedColumnFormula>
    </tableColumn>
    <tableColumn id="12" xr3:uid="{1A55B47E-7264-3248-9C18-38EAD996F7C0}" name="multiplicator" dataDxfId="157"/>
    <tableColumn id="11" xr3:uid="{7EA7E570-F881-ED4C-923C-51A1C132527E}" name="time value" dataDxfId="156"/>
    <tableColumn id="10" xr3:uid="{3AB2903A-8C3F-F04E-9F9A-E6A3896F7767}" name="reference wisle" dataDxfId="155"/>
    <tableColumn id="4" xr3:uid="{1167BECB-F8E8-404B-A55F-732146D748B6}" name="Task"/>
    <tableColumn id="5" xr3:uid="{BA8D8B9D-40ED-2847-9458-D6AB1DA65B3A}" name="System UI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134BFE-7946-844C-BD82-9DA1DD466B1A}" name="WSC_A" displayName="WSC_A" ref="A1:K10" totalsRowShown="0">
  <tableColumns count="11">
    <tableColumn id="1" xr3:uid="{988F13D4-6410-3540-B682-2DF4121E4E16}" name="Service ID"/>
    <tableColumn id="2" xr3:uid="{170920DC-DE67-454F-A5EB-FB7BF567CCF6}" name="Role"/>
    <tableColumn id="13" xr3:uid="{B90890B4-A482-D948-B9EA-856D8D6666AD}" name="Distribution"/>
    <tableColumn id="14" xr3:uid="{CBF75EC1-6DE7-D14C-BF61-78B4CC6D77C8}" name="Match" dataDxfId="154">
      <calculatedColumnFormula>#REF!</calculatedColumnFormula>
    </tableColumn>
    <tableColumn id="9" xr3:uid="{DF3E13E0-C1E7-A740-909E-6E9B6EB4A8BA}" name="Real IBC Time" dataDxfId="153">
      <calculatedColumnFormula array="1">_xlfn.IFS(WSC_A[[#This Row],[reference wisle]]="KO",#REF!+(WSC_A[[#This Row],[Time to KO]]/1440),WSC_A[[#This Row],[reference wisle]]="FW",#REF!+(WSC_A[[#This Row],[Time to KO]]/1440),WSC_A[[#This Row],[reference wisle]]="EOD","End of Day")</calculatedColumnFormula>
    </tableColumn>
    <tableColumn id="3" xr3:uid="{532F70BF-9FDA-A740-B78E-DC1C825FFADF}" name="Time to KO" dataDxfId="152">
      <calculatedColumnFormula>WSC_A[[#This Row],[time value]]*WSC_A[[#This Row],[multiplicator]]</calculatedColumnFormula>
    </tableColumn>
    <tableColumn id="12" xr3:uid="{A72713BC-DD5D-0049-B386-04C98200A10F}" name="multiplicator" dataDxfId="151"/>
    <tableColumn id="11" xr3:uid="{C29F6DDC-D7E7-4D4D-8FCC-B4D65EF104F8}" name="time value" dataDxfId="150"/>
    <tableColumn id="10" xr3:uid="{EAE5572D-8C9B-2B4B-98F2-A9B896483EB8}" name="reference wisle" dataDxfId="149"/>
    <tableColumn id="4" xr3:uid="{976FDF8E-C79D-2A41-9F74-92DE4A3E44F0}" name="Task"/>
    <tableColumn id="5" xr3:uid="{F6205EED-66C9-8249-8463-81FD7F748186}" name="System UI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1B52AD4-0736-B749-B28F-C3CA2AABDEE3}" name="WSC_B" displayName="WSC_B" ref="A1:K10" totalsRowShown="0">
  <tableColumns count="11">
    <tableColumn id="1" xr3:uid="{8D82D1C0-4E7C-1842-8E1A-929D67042C69}" name="Service ID"/>
    <tableColumn id="2" xr3:uid="{647C9BA7-6CF9-5A46-8A63-E204CF43D9F0}" name="Role"/>
    <tableColumn id="13" xr3:uid="{F1B4340D-D7EA-8C46-A258-DD0E9916A428}" name="Distribution"/>
    <tableColumn id="14" xr3:uid="{7042F552-1005-3E41-B844-9EF957453B3C}" name="Match">
      <calculatedColumnFormula>#REF!</calculatedColumnFormula>
    </tableColumn>
    <tableColumn id="9" xr3:uid="{2E714A72-EB94-8949-BC97-0C2B3CF186D2}" name="Real IBC Time" dataDxfId="148">
      <calculatedColumnFormula array="1">_xlfn.IFS(WSC_B[[#This Row],[reference wisle]]="KO",#REF!+(WSC_B[[#This Row],[Time to KO]]/1440),WSC_B[[#This Row],[reference wisle]]="FW",#REF!+(WSC_B[[#This Row],[Time to KO]]/1440),WSC_B[[#This Row],[reference wisle]]="EOD","End of Day")</calculatedColumnFormula>
    </tableColumn>
    <tableColumn id="3" xr3:uid="{25D46A95-DEAB-BC45-A28E-5C5B882D083E}" name="Time to KO" dataDxfId="147">
      <calculatedColumnFormula>WSC_B[[#This Row],[time value]]*WSC_B[[#This Row],[multiplicator]]</calculatedColumnFormula>
    </tableColumn>
    <tableColumn id="12" xr3:uid="{262F0879-EB88-BA47-87CC-217513425569}" name="multiplicator" dataDxfId="146"/>
    <tableColumn id="11" xr3:uid="{99E0E5EC-DA09-604F-926A-CEBB4D4B19F3}" name="time value" dataDxfId="145"/>
    <tableColumn id="10" xr3:uid="{87BC7233-E8FF-444A-94C5-3D97ED83BA55}" name="reference wisle" dataDxfId="144"/>
    <tableColumn id="4" xr3:uid="{917E29A6-AC9E-A045-B211-5862F9933CAA}" name="Task" dataDxfId="143"/>
    <tableColumn id="5" xr3:uid="{19EB61B0-3E76-CD41-93F8-FDE8C43C161C}" name="System UI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E92F0C9-1504-3243-A75E-1B578D7E61C5}" name="WSC_C" displayName="WSC_C" ref="A1:K10" totalsRowShown="0">
  <tableColumns count="11">
    <tableColumn id="1" xr3:uid="{44213D54-0AB6-834F-A23A-5F759B489C2B}" name="Service ID"/>
    <tableColumn id="2" xr3:uid="{A5CD210F-244A-EA4A-A126-E85578FD4807}" name="Role"/>
    <tableColumn id="13" xr3:uid="{07FECF66-013E-B84D-AC35-BDFAC66B3792}" name="Distribution"/>
    <tableColumn id="14" xr3:uid="{C3670BEB-8DA5-CF4E-BB73-0DA7AFE7AF22}" name="Match">
      <calculatedColumnFormula>#REF!</calculatedColumnFormula>
    </tableColumn>
    <tableColumn id="9" xr3:uid="{A140DD46-4DBF-D842-B4A4-401749EE2AED}" name="Real IBC Time" dataDxfId="142">
      <calculatedColumnFormula array="1">_xlfn.IFS(WSC_C[[#This Row],[reference wisle]]="KO",#REF!+(WSC_C[[#This Row],[Time to KO]]/1440),WSC_C[[#This Row],[reference wisle]]="FW",#REF!+(WSC_C[[#This Row],[Time to KO]]/1440),WSC_C[[#This Row],[reference wisle]]="EOD","End of Day")</calculatedColumnFormula>
    </tableColumn>
    <tableColumn id="3" xr3:uid="{F3BE1331-2B5F-9C4A-BD3C-6EAAF23CA0CE}" name="Time to KO" dataDxfId="141">
      <calculatedColumnFormula>WSC_C[[#This Row],[time value]]*WSC_C[[#This Row],[multiplicator]]</calculatedColumnFormula>
    </tableColumn>
    <tableColumn id="12" xr3:uid="{2CE24A04-0AD6-084C-9FFA-87DBEED8B146}" name="multiplicator" dataDxfId="140"/>
    <tableColumn id="11" xr3:uid="{6EED2640-1522-F247-A749-AE605D1DDA59}" name="time value" dataDxfId="139"/>
    <tableColumn id="10" xr3:uid="{5F9E5F15-29C8-CF4A-9563-47895B9F3D2C}" name="reference wisle" dataDxfId="138"/>
    <tableColumn id="4" xr3:uid="{8C4B2566-66F2-D944-8A55-089385E7173D}" name="Task" dataDxfId="137"/>
    <tableColumn id="5" xr3:uid="{F96D9FD9-BC37-0747-B48C-E3CCEC6EFC4A}" name="System UI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605C99E-F26F-174D-8083-55D97A035311}" name="WSC_D" displayName="WSC_D" ref="A1:K10" totalsRowShown="0">
  <tableColumns count="11">
    <tableColumn id="1" xr3:uid="{46CEAA54-0709-DA4F-B9B2-3525CC7BF479}" name="Service ID"/>
    <tableColumn id="2" xr3:uid="{F0547E2C-15E5-3442-88B8-C91B2E34884D}" name="Role"/>
    <tableColumn id="13" xr3:uid="{11B383DC-74F7-2144-BBEA-E427A1853FBB}" name="Distribution"/>
    <tableColumn id="14" xr3:uid="{8346E033-9027-C04F-852B-0138495F875D}" name="Match">
      <calculatedColumnFormula>#REF!</calculatedColumnFormula>
    </tableColumn>
    <tableColumn id="9" xr3:uid="{DC3B29B6-1F69-8441-AB31-CAA407DE9F5D}" name="Real IBC Time" dataDxfId="136">
      <calculatedColumnFormula array="1">_xlfn.IFS(WSC_D[[#This Row],[reference wisle]]="KO",#REF!+(WSC_D[[#This Row],[Time to KO]]/1440),WSC_D[[#This Row],[reference wisle]]="FW",#REF!+(WSC_D[[#This Row],[Time to KO]]/1440),WSC_D[[#This Row],[reference wisle]]="EOD","End of Day")</calculatedColumnFormula>
    </tableColumn>
    <tableColumn id="3" xr3:uid="{64E56946-3136-F04A-ABD7-4A231B1AFD9C}" name="Time to KO" dataDxfId="135">
      <calculatedColumnFormula>WSC_D[[#This Row],[time value]]*WSC_D[[#This Row],[multiplicator]]</calculatedColumnFormula>
    </tableColumn>
    <tableColumn id="12" xr3:uid="{72D40517-1359-6E40-8D77-DA64F8BAA0B8}" name="multiplicator" dataDxfId="134"/>
    <tableColumn id="11" xr3:uid="{983536A7-24E5-6C41-B1F1-F9DD6707D44E}" name="time value" dataDxfId="133"/>
    <tableColumn id="10" xr3:uid="{70D24D04-EEF2-C544-BEDD-20550AAB9419}" name="reference wisle" dataDxfId="132"/>
    <tableColumn id="4" xr3:uid="{5EADE023-6CDD-2146-AABF-F5AC5293CACE}" name="Task" dataDxfId="131"/>
    <tableColumn id="5" xr3:uid="{A55E21C1-802C-E145-8CA7-62A827615314}" name="System UI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F80621-402F-DC43-A23B-3F325B5F3743}" name="DATATAIN_A" displayName="DATATAIN_A" ref="A1:K10" totalsRowShown="0">
  <autoFilter ref="A1:K10" xr:uid="{265C75E4-6ADA-2349-9897-D71E602C56DC}"/>
  <tableColumns count="11">
    <tableColumn id="1" xr3:uid="{E306088D-E8A7-8D48-9461-81100E21B589}" name="Service ID"/>
    <tableColumn id="2" xr3:uid="{D7F98F8E-F8CC-554F-ADEE-ECC1243F83B2}" name="Role"/>
    <tableColumn id="13" xr3:uid="{72F9584B-0F6C-F949-9E40-547AF86D8A21}" name="Distribution"/>
    <tableColumn id="14" xr3:uid="{9F1CEB07-5FDA-E546-9A0F-F2D4D3084399}" name="Match" dataDxfId="130">
      <calculatedColumnFormula>#REF!</calculatedColumnFormula>
    </tableColumn>
    <tableColumn id="9" xr3:uid="{123EB14B-BD28-0945-9F3A-61F002CCE727}" name="Real IBC Time" dataDxfId="129">
      <calculatedColumnFormula array="1">_xlfn.IFS(DATATAIN_A[[#This Row],[reference wisle]]="KO",#REF!+(DATATAIN_A[[#This Row],[Time to KO]]/1440),DATATAIN_A[[#This Row],[reference wisle]]="FW",#REF!+(DATATAIN_A[[#This Row],[Time to KO]]/1440),DATATAIN_A[[#This Row],[reference wisle]]="EOD","End of Day")</calculatedColumnFormula>
    </tableColumn>
    <tableColumn id="3" xr3:uid="{62B8F5DE-C7BD-5840-8AD7-A448C8E26315}" name="Time to KO" dataDxfId="128">
      <calculatedColumnFormula>DATATAIN_A[[#This Row],[time value]]*DATATAIN_A[[#This Row],[multiplicator]]</calculatedColumnFormula>
    </tableColumn>
    <tableColumn id="12" xr3:uid="{71404CA5-2C3A-1C42-9BCC-84368708A6E5}" name="multiplicator" dataDxfId="127"/>
    <tableColumn id="11" xr3:uid="{F0E76EE5-23CD-3640-8827-AFE478E86005}" name="time value" dataDxfId="126"/>
    <tableColumn id="10" xr3:uid="{2BB35D0F-CE07-E740-A1B5-8F1D41B8A750}" name="reference wisle" dataDxfId="125"/>
    <tableColumn id="4" xr3:uid="{49BE507B-9760-8744-B37C-0D8E1F91AE46}" name="Task"/>
    <tableColumn id="5" xr3:uid="{3FD9E997-177D-2D44-ABA8-5F6F28E9A181}" name="System UI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5858642-D9FE-8942-85FD-07936BBDEB1B}" name="DATATAIN_B" displayName="DATATAIN_B" ref="A1:K10" totalsRowShown="0">
  <autoFilter ref="A1:K10" xr:uid="{265C75E4-6ADA-2349-9897-D71E602C56DC}"/>
  <tableColumns count="11">
    <tableColumn id="1" xr3:uid="{63780AE0-EB29-514D-B6DF-D7AC50FCB4A6}" name="Service ID"/>
    <tableColumn id="2" xr3:uid="{0B053B82-6FF6-2947-93F4-1EB141897B01}" name="Role"/>
    <tableColumn id="13" xr3:uid="{233E06CA-C673-F440-A9F8-5274774CD5BF}" name="Distribution"/>
    <tableColumn id="14" xr3:uid="{267304F2-D956-C846-95AE-E959248B6791}" name="Match">
      <calculatedColumnFormula>#REF!</calculatedColumnFormula>
    </tableColumn>
    <tableColumn id="9" xr3:uid="{61CE35B7-C5A3-574B-9A96-90EE1597C5F5}" name="Real IBC Time" dataDxfId="124">
      <calculatedColumnFormula array="1">_xlfn.IFS(DATATAIN_B[[#This Row],[reference wisle]]="KO",#REF!+(DATATAIN_B[[#This Row],[Time to KO]]/1440),DATATAIN_B[[#This Row],[reference wisle]]="FW",#REF!+(DATATAIN_B[[#This Row],[Time to KO]]/1440),DATATAIN_B[[#This Row],[reference wisle]]="EOD","End of Day")</calculatedColumnFormula>
    </tableColumn>
    <tableColumn id="3" xr3:uid="{28236776-6DF9-3F43-B0AC-DEA10B67AFF9}" name="Time to KO" dataDxfId="123">
      <calculatedColumnFormula>DATATAIN_B[[#This Row],[time value]]*DATATAIN_B[[#This Row],[multiplicator]]</calculatedColumnFormula>
    </tableColumn>
    <tableColumn id="12" xr3:uid="{F2ED927F-CAE5-D347-A0A4-A881A4115EA1}" name="multiplicator" dataDxfId="122"/>
    <tableColumn id="11" xr3:uid="{06A4EF23-4F2B-374F-A520-E43F74AA1488}" name="time value" dataDxfId="121"/>
    <tableColumn id="10" xr3:uid="{0FBD9CFE-323B-0142-8F61-2E07D17FC68E}" name="reference wisle" dataDxfId="120"/>
    <tableColumn id="4" xr3:uid="{062B1FDB-9DE8-414E-9E77-AB0D1ABB45CB}" name="Task" dataDxfId="119"/>
    <tableColumn id="5" xr3:uid="{16A02966-EAD0-D242-958D-C26A191114BC}" name="System UI" dataDxfId="118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1B064D4-B3AC-804E-9AB9-47D05CD1BB93}" name="DATATAIN_C" displayName="DATATAIN_C" ref="A1:K10" totalsRowShown="0">
  <autoFilter ref="A1:K10" xr:uid="{265C75E4-6ADA-2349-9897-D71E602C56DC}"/>
  <tableColumns count="11">
    <tableColumn id="1" xr3:uid="{726D57DF-FC1E-E745-9E51-C358E9942C80}" name="Service ID"/>
    <tableColumn id="2" xr3:uid="{9573B381-683F-D64B-B3BF-7FD2CED584F5}" name="Role"/>
    <tableColumn id="13" xr3:uid="{9F7F748E-124C-D04A-8178-0A7EEDCE0D72}" name="Distribution"/>
    <tableColumn id="14" xr3:uid="{019C30A1-852E-E648-BB93-09D72F16A837}" name="Match">
      <calculatedColumnFormula>#REF!</calculatedColumnFormula>
    </tableColumn>
    <tableColumn id="9" xr3:uid="{595D1CFA-EE8A-2D4D-B5BA-BC401DA9A42D}" name="Real IBC Time" dataDxfId="117">
      <calculatedColumnFormula array="1">_xlfn.IFS(DATATAIN_C[[#This Row],[reference wisle]]="KO",#REF!+(DATATAIN_C[[#This Row],[Time to KO]]/1440),DATATAIN_C[[#This Row],[reference wisle]]="FW",#REF!+(DATATAIN_C[[#This Row],[Time to KO]]/1440),DATATAIN_C[[#This Row],[reference wisle]]="EOD","End of Day")</calculatedColumnFormula>
    </tableColumn>
    <tableColumn id="3" xr3:uid="{93DDC0BF-37E1-CE43-9076-E1446E2C5662}" name="Time to KO" dataDxfId="116">
      <calculatedColumnFormula>DATATAIN_C[[#This Row],[time value]]*DATATAIN_C[[#This Row],[multiplicator]]</calculatedColumnFormula>
    </tableColumn>
    <tableColumn id="12" xr3:uid="{3FCEA754-6D7B-CE40-861E-B80CB797DBC5}" name="multiplicator" dataDxfId="115"/>
    <tableColumn id="11" xr3:uid="{4E366719-F88F-C24D-86C1-498B56090017}" name="time value" dataDxfId="114"/>
    <tableColumn id="10" xr3:uid="{3EF563AA-02E3-2747-A602-D1ED8B4D8DC2}" name="reference wisle" dataDxfId="113"/>
    <tableColumn id="4" xr3:uid="{F185E5DA-E477-4A4B-BDCF-81F69192CE1E}" name="Task" dataDxfId="112"/>
    <tableColumn id="5" xr3:uid="{656252B4-C698-B942-BDEE-6F2A80D5CFA8}" name="System UI" dataDxfId="111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E1087A7-E86E-5C4F-97D2-CBF1094603B8}" name="DATATAIN_D" displayName="DATATAIN_D" ref="A1:K10" totalsRowShown="0">
  <autoFilter ref="A1:K10" xr:uid="{265C75E4-6ADA-2349-9897-D71E602C56DC}"/>
  <tableColumns count="11">
    <tableColumn id="1" xr3:uid="{0795D57E-5AB2-0244-B93B-3B55B55D35C6}" name="Service ID"/>
    <tableColumn id="2" xr3:uid="{AFDF94F2-4A93-3543-8834-CDC4E20FA250}" name="Role"/>
    <tableColumn id="13" xr3:uid="{B5B9E98B-F4DB-F74B-A250-430BAB978E93}" name="Distribution"/>
    <tableColumn id="14" xr3:uid="{6A58F226-3A66-1048-8BDE-ADB0928D5267}" name="Match">
      <calculatedColumnFormula>#REF!</calculatedColumnFormula>
    </tableColumn>
    <tableColumn id="9" xr3:uid="{35E9D80B-E393-FE44-89DC-9A1DA6E26721}" name="Real IBC Time" dataDxfId="110">
      <calculatedColumnFormula array="1">_xlfn.IFS(DATATAIN_D[[#This Row],[reference wisle]]="KO",#REF!+(DATATAIN_D[[#This Row],[Time to KO]]/1440),DATATAIN_D[[#This Row],[reference wisle]]="FW",#REF!+(DATATAIN_D[[#This Row],[Time to KO]]/1440),DATATAIN_D[[#This Row],[reference wisle]]="EOD","End of Day")</calculatedColumnFormula>
    </tableColumn>
    <tableColumn id="3" xr3:uid="{CAEAC9B1-42D1-6E4C-8205-B6988E05DAAC}" name="Time to KO" dataDxfId="109">
      <calculatedColumnFormula>DATATAIN_D[[#This Row],[time value]]*DATATAIN_D[[#This Row],[multiplicator]]</calculatedColumnFormula>
    </tableColumn>
    <tableColumn id="12" xr3:uid="{011AA6D1-7228-E641-A8A5-583634A376BA}" name="multiplicator" dataDxfId="108"/>
    <tableColumn id="11" xr3:uid="{4E553AB2-C51E-5046-8FEC-542BA115B2DF}" name="time value" dataDxfId="107"/>
    <tableColumn id="10" xr3:uid="{8BD89E74-01D7-FF43-BCE2-FC92355ED5EE}" name="reference wisle" dataDxfId="106"/>
    <tableColumn id="4" xr3:uid="{15766517-78EE-9B4B-81D3-8815C366FECD}" name="Task" dataDxfId="105"/>
    <tableColumn id="5" xr3:uid="{1C93E3E9-867E-3441-B416-8B75CD238191}" name="System UI" dataDxfId="104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6A8F069-E10A-45A4-9958-9531035674E8}" name="CC_A" displayName="CC_A" ref="A1:K19" totalsRowShown="0">
  <autoFilter ref="A1:K19" xr:uid="{265C75E4-6ADA-2349-9897-D71E602C56DC}"/>
  <tableColumns count="11">
    <tableColumn id="1" xr3:uid="{1A598D16-9CBA-41C9-AF83-EEDB0E4714AA}" name="Service ID"/>
    <tableColumn id="2" xr3:uid="{8224E3F7-D450-4B20-880D-9A1C0C3B2C8D}" name="Role"/>
    <tableColumn id="13" xr3:uid="{E19C8050-75B1-4095-B7A1-822DC1B7E991}" name="Distribution"/>
    <tableColumn id="14" xr3:uid="{12C26549-922A-48BD-B16E-17C405A409EA}" name="Match" dataDxfId="103">
      <calculatedColumnFormula>#REF!</calculatedColumnFormula>
    </tableColumn>
    <tableColumn id="9" xr3:uid="{68414AAB-68D9-4775-A15C-58A4934CB88F}" name="Real IBC Time" dataDxfId="102">
      <calculatedColumnFormula array="1">_xlfn.IFS(CC_A[[#This Row],[reference wisle]]="KO",#REF!+(CC_A[[#This Row],[Time to KO]]/1440),CC_A[[#This Row],[reference wisle]]="FW",#REF!+(CC_A[[#This Row],[Time to KO]]/1440),CC_A[[#This Row],[reference wisle]]="EOD","End of Day")</calculatedColumnFormula>
    </tableColumn>
    <tableColumn id="3" xr3:uid="{2D87263A-7DD1-476C-ADBB-C8F3C15E2C5B}" name="Time to KO" dataDxfId="101">
      <calculatedColumnFormula>CC_A[[#This Row],[time value]]*CC_A[[#This Row],[multiplicator]]</calculatedColumnFormula>
    </tableColumn>
    <tableColumn id="12" xr3:uid="{2514DF71-0DC0-4151-94C6-B25B3E1F51D4}" name="multiplicator" dataDxfId="100"/>
    <tableColumn id="11" xr3:uid="{BA643991-A8AD-4651-91A0-C23A0E246D09}" name="time value" dataDxfId="99"/>
    <tableColumn id="10" xr3:uid="{C2DFA9C5-AF5F-4A77-B992-72FAB607B8D0}" name="reference wisle" dataDxfId="98"/>
    <tableColumn id="4" xr3:uid="{1CD53AB0-3C3D-4C55-89CD-7C9B365BE5F8}" name="Task" dataDxfId="97"/>
    <tableColumn id="5" xr3:uid="{F69F52F3-14D1-4B58-ABE7-F3E0FD4EE50F}" name="System UI" dataDxfId="9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35AC02A-B102-4107-A975-27846E9804E0}" name="CC_B" displayName="CC_B" ref="A1:K19" totalsRowShown="0">
  <autoFilter ref="A1:K19" xr:uid="{265C75E4-6ADA-2349-9897-D71E602C56DC}"/>
  <tableColumns count="11">
    <tableColumn id="1" xr3:uid="{0884BDE3-E334-44A5-B160-4748D1837173}" name="Service ID"/>
    <tableColumn id="2" xr3:uid="{71BC22D4-6A78-4180-825B-6DCE104AF7FD}" name="Role"/>
    <tableColumn id="13" xr3:uid="{CF8CD04B-9F06-46AB-BC10-1B7FB6D25FE8}" name="Distribution"/>
    <tableColumn id="14" xr3:uid="{9AC9B3AF-082D-4BF9-AF80-14014EA6481E}" name="Match" dataDxfId="95">
      <calculatedColumnFormula>#REF!</calculatedColumnFormula>
    </tableColumn>
    <tableColumn id="9" xr3:uid="{2E028BA2-8C24-45DE-9963-5F891ED31F6C}" name="Real IBC Time" dataDxfId="94">
      <calculatedColumnFormula array="1">_xlfn.IFS(CC_B[[#This Row],[reference wisle]]="KO",#REF!+(CC_B[[#This Row],[Time to KO]]/1440),CC_B[[#This Row],[reference wisle]]="FW",#REF!+(CC_B[[#This Row],[Time to KO]]/1440),CC_B[[#This Row],[reference wisle]]="EOD","End of Day")</calculatedColumnFormula>
    </tableColumn>
    <tableColumn id="3" xr3:uid="{250E9F58-2E53-4F17-845D-6A95C69A4544}" name="Time to KO" dataDxfId="93">
      <calculatedColumnFormula>CC_B[[#This Row],[time value]]*CC_B[[#This Row],[multiplicator]]</calculatedColumnFormula>
    </tableColumn>
    <tableColumn id="12" xr3:uid="{A9293C71-BAD1-4001-B4EE-17E6463EA993}" name="multiplicator" dataDxfId="92"/>
    <tableColumn id="11" xr3:uid="{31D2D337-95DA-46A6-B5D0-744CA82CA280}" name="time value" dataDxfId="91"/>
    <tableColumn id="10" xr3:uid="{7BF88D46-3C73-4F6F-B866-EED994BCFAFF}" name="reference wisle" dataDxfId="90"/>
    <tableColumn id="4" xr3:uid="{88E6B4F1-2ACB-413D-8453-797A32254D8E}" name="Task" dataDxfId="89"/>
    <tableColumn id="5" xr3:uid="{4EF36CEB-9647-49CA-86F2-434B43DDDF69}" name="System UI" dataDxfId="88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9ED44DF-05DB-4D48-9E8A-D6DBEFE70FC3}" name="CC_C" displayName="CC_C" ref="A1:K19" totalsRowShown="0">
  <autoFilter ref="A1:K19" xr:uid="{265C75E4-6ADA-2349-9897-D71E602C56DC}"/>
  <tableColumns count="11">
    <tableColumn id="1" xr3:uid="{93774310-DE0E-4FE9-9E14-5B1A1ECEC7BD}" name="Service ID"/>
    <tableColumn id="2" xr3:uid="{A3B04206-C95B-4EA3-8585-340DD440CD84}" name="Role"/>
    <tableColumn id="13" xr3:uid="{6A9C36B0-EEC0-4ABF-8061-7EE26C8B7F4C}" name="Distribution"/>
    <tableColumn id="14" xr3:uid="{18FF19FE-A56D-4965-9BB3-0648D43F6A3F}" name="Match" dataDxfId="87">
      <calculatedColumnFormula>#REF!</calculatedColumnFormula>
    </tableColumn>
    <tableColumn id="9" xr3:uid="{D743CA3D-F820-41D4-B905-A421B386B70F}" name="Real IBC Time" dataDxfId="86">
      <calculatedColumnFormula array="1">_xlfn.IFS(CC_C[[#This Row],[reference wisle]]="KO",#REF!+(CC_C[[#This Row],[Time to KO]]/1440),CC_C[[#This Row],[reference wisle]]="FW",#REF!+(CC_C[[#This Row],[Time to KO]]/1440),CC_C[[#This Row],[reference wisle]]="EOD","End of Day")</calculatedColumnFormula>
    </tableColumn>
    <tableColumn id="3" xr3:uid="{0700FB41-B211-4FD7-B48A-95930E402E1F}" name="Time to KO" dataDxfId="85">
      <calculatedColumnFormula>CC_C[[#This Row],[time value]]*CC_C[[#This Row],[multiplicator]]</calculatedColumnFormula>
    </tableColumn>
    <tableColumn id="12" xr3:uid="{683FFDC0-1AC8-4738-9400-9DF213020031}" name="multiplicator" dataDxfId="84"/>
    <tableColumn id="11" xr3:uid="{697BF027-8826-4C55-80F5-67DACBDBE8B7}" name="time value" dataDxfId="83"/>
    <tableColumn id="10" xr3:uid="{0B27E3D9-1687-4397-8E6C-97CD056EAE80}" name="reference wisle" dataDxfId="82"/>
    <tableColumn id="4" xr3:uid="{BA0297DF-B8FE-48FA-9214-E79C7EA4A11C}" name="Task" dataDxfId="81"/>
    <tableColumn id="5" xr3:uid="{BABD73F6-DB32-41B3-A36B-DEB92F5625B8}" name="System UI" dataDxfId="80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25E47D7-766F-4513-8F21-412615C63E3C}" name="CC_D" displayName="CC_D" ref="A1:K19" totalsRowShown="0">
  <autoFilter ref="A1:K19" xr:uid="{265C75E4-6ADA-2349-9897-D71E602C56DC}"/>
  <tableColumns count="11">
    <tableColumn id="1" xr3:uid="{1C6848DA-84A5-497D-9FAD-A7BD3B96B028}" name="Service ID"/>
    <tableColumn id="2" xr3:uid="{3588D706-6622-4457-B980-336BD41DF9EF}" name="Role"/>
    <tableColumn id="13" xr3:uid="{16DDC1B6-E711-481C-A0D4-78C47876247C}" name="Distribution"/>
    <tableColumn id="14" xr3:uid="{E2612C4C-260C-4B6B-856E-660C05D076F2}" name="Match">
      <calculatedColumnFormula>#REF!</calculatedColumnFormula>
    </tableColumn>
    <tableColumn id="9" xr3:uid="{BD2F84CD-DC61-405D-BE6A-F29432EDA68E}" name="Real IBC Time" dataDxfId="79">
      <calculatedColumnFormula array="1">_xlfn.IFS(CC_D[[#This Row],[reference wisle]]="KO",#REF!+(CC_D[[#This Row],[Time to KO]]/1440),CC_D[[#This Row],[reference wisle]]="FW",#REF!+(CC_D[[#This Row],[Time to KO]]/1440),CC_D[[#This Row],[reference wisle]]="EOD","End of Day")</calculatedColumnFormula>
    </tableColumn>
    <tableColumn id="3" xr3:uid="{7626108A-5B9E-4640-87D6-63FBB8FAC72C}" name="Time to KO" dataDxfId="78">
      <calculatedColumnFormula>CC_D[[#This Row],[time value]]*CC_D[[#This Row],[multiplicator]]</calculatedColumnFormula>
    </tableColumn>
    <tableColumn id="12" xr3:uid="{AC782AB7-9EFA-49E7-8CC7-1F4C648B6C8A}" name="multiplicator" dataDxfId="77"/>
    <tableColumn id="11" xr3:uid="{6A5D80DD-D3AA-4329-B82A-EE99C259F8FC}" name="time value" dataDxfId="76"/>
    <tableColumn id="10" xr3:uid="{5B740C04-739E-4011-9C9A-AD20BA215BDC}" name="reference wisle" dataDxfId="75"/>
    <tableColumn id="4" xr3:uid="{25DEA060-FECB-4DA0-BAAB-B2A8D5960358}" name="Task" dataDxfId="74"/>
    <tableColumn id="5" xr3:uid="{4F76A018-FEE2-4A8A-BF3F-2D9A4782FD2F}" name="System UI" dataDxfId="73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34BEEF-905A-4FF5-8310-14576B9399FE}" name="MB_A" displayName="MB_A" ref="A1:K56" totalsRowShown="0">
  <autoFilter ref="A1:K56" xr:uid="{265C75E4-6ADA-2349-9897-D71E602C56DC}"/>
  <tableColumns count="11">
    <tableColumn id="1" xr3:uid="{D0934610-509A-4AD9-A0FB-288B2B8E3E5A}" name="Service ID"/>
    <tableColumn id="2" xr3:uid="{4E02350D-D5DF-48A7-BB4D-880E7881D5A8}" name="Role"/>
    <tableColumn id="13" xr3:uid="{43D1E559-9A77-467C-A8D6-74D66CA741E8}" name="Distribution"/>
    <tableColumn id="14" xr3:uid="{EF520E01-9AE7-4E88-8571-C126B896D699}" name="Match" dataDxfId="72">
      <calculatedColumnFormula>#REF!</calculatedColumnFormula>
    </tableColumn>
    <tableColumn id="9" xr3:uid="{B15F12BB-F78C-4918-AAE8-379BD873793F}" name="Real IBC Time" dataDxfId="71">
      <calculatedColumnFormula array="1">_xlfn.IFS(MB_A[[#This Row],[reference wisle]]="KO",#REF!+(MB_A[[#This Row],[Time to KO]]/1440),MB_A[[#This Row],[reference wisle]]="FW",#REF!+(MB_A[[#This Row],[Time to KO]]/1440),MB_A[[#This Row],[reference wisle]]="EOD","End of Day")</calculatedColumnFormula>
    </tableColumn>
    <tableColumn id="3" xr3:uid="{20A1529E-E1EF-4D4B-8B7F-208C16E1A656}" name="Time to KO" dataDxfId="70">
      <calculatedColumnFormula>MB_A[[#This Row],[time value]]*MB_A[[#This Row],[multiplicator]]</calculatedColumnFormula>
    </tableColumn>
    <tableColumn id="12" xr3:uid="{EA1AF08D-1B06-4214-A8D5-597FB654C152}" name="multiplicator" dataDxfId="69"/>
    <tableColumn id="11" xr3:uid="{9548B2BB-887A-424A-8238-9FDFC63861D6}" name="time value" dataDxfId="68"/>
    <tableColumn id="10" xr3:uid="{5D484784-BD8E-4052-8498-51BEC48B72CB}" name="reference wisle" dataDxfId="67"/>
    <tableColumn id="4" xr3:uid="{FE497930-6A7B-4A05-9EEC-74725A90436F}" name="Task"/>
    <tableColumn id="5" xr3:uid="{01F7675C-8320-4263-8896-BC5BEC46BD3D}" name="System UI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5D8277-7ACE-4CED-840F-522DBDD96144}" name="MB_B" displayName="MB_B" ref="A1:K56" totalsRowShown="0">
  <autoFilter ref="A1:K56" xr:uid="{265C75E4-6ADA-2349-9897-D71E602C56DC}"/>
  <tableColumns count="11">
    <tableColumn id="1" xr3:uid="{EAC33E8C-BC0A-41D7-8856-E9E97BE929E1}" name="Service ID"/>
    <tableColumn id="2" xr3:uid="{C4148974-E9F5-42C2-B6EF-A7D70CE08738}" name="Role"/>
    <tableColumn id="13" xr3:uid="{F49718F2-E189-422C-8249-859B57BB1782}" name="Distribution"/>
    <tableColumn id="14" xr3:uid="{99478FF8-85CA-4E37-8008-061480407134}" name="Match" dataDxfId="66">
      <calculatedColumnFormula>#REF!</calculatedColumnFormula>
    </tableColumn>
    <tableColumn id="9" xr3:uid="{C6B7BFEF-835A-4C89-B13A-5438443B63E4}" name="Real IBC Time" dataDxfId="65">
      <calculatedColumnFormula array="1">_xlfn.IFS(MB_B[[#This Row],[reference wisle]]="KO",#REF!+(MB_B[[#This Row],[Time to KO]]/1440),MB_B[[#This Row],[reference wisle]]="FW",#REF!+(MB_B[[#This Row],[Time to KO]]/1440),MB_B[[#This Row],[reference wisle]]="EOD","End of Day")</calculatedColumnFormula>
    </tableColumn>
    <tableColumn id="3" xr3:uid="{769B5F9C-DD0B-4686-9400-B34E19055E90}" name="Time to KO" dataDxfId="64">
      <calculatedColumnFormula>MB_B[[#This Row],[time value]]*MB_B[[#This Row],[multiplicator]]</calculatedColumnFormula>
    </tableColumn>
    <tableColumn id="12" xr3:uid="{9D7ECABD-D2F5-4958-9B38-97C72B243847}" name="multiplicator" dataDxfId="63"/>
    <tableColumn id="11" xr3:uid="{A64ACFC5-80F0-41B4-BD06-9431BDCE0C97}" name="time value" dataDxfId="62"/>
    <tableColumn id="10" xr3:uid="{86F95F70-2020-41DD-9867-8CBD90B925F9}" name="reference wisle" dataDxfId="61"/>
    <tableColumn id="4" xr3:uid="{4A1AAD71-D75E-488F-A39D-6496447CB9B7}" name="Task"/>
    <tableColumn id="5" xr3:uid="{C70EC422-07BC-4B36-BD9A-79B45B96CDA2}" name="System UI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3B87D3-0BC2-472B-999E-323277747366}" name="MB_C" displayName="MB_C" ref="A1:K56" totalsRowShown="0">
  <autoFilter ref="A1:K56" xr:uid="{265C75E4-6ADA-2349-9897-D71E602C56DC}"/>
  <tableColumns count="11">
    <tableColumn id="1" xr3:uid="{9C889546-AA40-40CF-B85E-9590944380FC}" name="Service ID"/>
    <tableColumn id="2" xr3:uid="{11ED8FF9-99F4-41B1-BB7D-474F9893A614}" name="Role"/>
    <tableColumn id="13" xr3:uid="{431140C8-79CD-4B1B-ADAE-DC833DE46389}" name="Distribution"/>
    <tableColumn id="14" xr3:uid="{E6E122CE-B7EF-4C36-868E-B63DBDA308AB}" name="Match" dataDxfId="60">
      <calculatedColumnFormula>#REF!</calculatedColumnFormula>
    </tableColumn>
    <tableColumn id="9" xr3:uid="{605424F7-00E0-409F-A632-42C19BB24882}" name="Real IBC Time" dataDxfId="59">
      <calculatedColumnFormula array="1">_xlfn.IFS(MB_C[[#This Row],[reference wisle]]="KO",#REF!+(MB_C[[#This Row],[Time to KO]]/1440),MB_C[[#This Row],[reference wisle]]="FW",#REF!+(MB_C[[#This Row],[Time to KO]]/1440),MB_C[[#This Row],[reference wisle]]="EOD","End of Day")</calculatedColumnFormula>
    </tableColumn>
    <tableColumn id="3" xr3:uid="{A83BBFC0-5A02-4EDE-A8D5-8037D53C8EC7}" name="Time to KO" dataDxfId="58">
      <calculatedColumnFormula>MB_C[[#This Row],[time value]]*MB_C[[#This Row],[multiplicator]]</calculatedColumnFormula>
    </tableColumn>
    <tableColumn id="12" xr3:uid="{34F7439C-7AB6-427D-B7D0-5E2C316179B0}" name="multiplicator" dataDxfId="57"/>
    <tableColumn id="11" xr3:uid="{DDC19BE4-C645-4D09-8F2C-7E6089F45B28}" name="time value" dataDxfId="56"/>
    <tableColumn id="10" xr3:uid="{6462837C-DB8C-4D98-9120-D50A063FCB5B}" name="reference wisle" dataDxfId="55"/>
    <tableColumn id="4" xr3:uid="{165CC71F-6712-4954-8208-345E04414A77}" name="Task"/>
    <tableColumn id="5" xr3:uid="{07C3CC6B-8E77-47E1-A71F-4052DFD8064C}" name="System UI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2EFF164-8071-443F-83B0-6C3CB62D57AA}" name="MB_D" displayName="MB_D" ref="A1:K56" totalsRowShown="0">
  <autoFilter ref="A1:K56" xr:uid="{265C75E4-6ADA-2349-9897-D71E602C56DC}"/>
  <tableColumns count="11">
    <tableColumn id="1" xr3:uid="{948D0B31-C0CD-4CE9-9DC1-CCE2B8678F15}" name="Service ID"/>
    <tableColumn id="2" xr3:uid="{899B9700-B6F0-4131-8B2D-D0AAB04AA56E}" name="Role"/>
    <tableColumn id="13" xr3:uid="{1B1BA365-EDE3-4344-8F43-D42D40A7F04D}" name="Distribution"/>
    <tableColumn id="14" xr3:uid="{45A24B1E-3233-4A38-9118-2DDE69C4B330}" name="Match" dataDxfId="54">
      <calculatedColumnFormula>#REF!</calculatedColumnFormula>
    </tableColumn>
    <tableColumn id="9" xr3:uid="{6FEFE689-BEF6-4534-A829-3BA37CAB924E}" name="Real IBC Time" dataDxfId="53">
      <calculatedColumnFormula array="1">_xlfn.IFS(MB_D[[#This Row],[reference wisle]]="KO",#REF!+(MB_D[[#This Row],[Time to KO]]/1440),MB_D[[#This Row],[reference wisle]]="FW",#REF!+(MB_D[[#This Row],[Time to KO]]/1440),MB_D[[#This Row],[reference wisle]]="EOD","End of Day")</calculatedColumnFormula>
    </tableColumn>
    <tableColumn id="3" xr3:uid="{A6EC38B9-78A8-4600-8234-EA98433778A2}" name="Time to KO" dataDxfId="52">
      <calculatedColumnFormula>MB_D[[#This Row],[time value]]*MB_D[[#This Row],[multiplicator]]</calculatedColumnFormula>
    </tableColumn>
    <tableColumn id="12" xr3:uid="{7885F675-9D81-4683-997C-33947B42DF9F}" name="multiplicator" dataDxfId="51"/>
    <tableColumn id="11" xr3:uid="{06B539DE-E661-499B-9B99-5E50631EDF5D}" name="time value" dataDxfId="50"/>
    <tableColumn id="10" xr3:uid="{DFCB66BA-CC39-467A-B52C-26007DB1B138}" name="reference wisle" dataDxfId="49"/>
    <tableColumn id="4" xr3:uid="{510AC3F0-AF2B-4103-99A8-FC1205896162}" name="Task"/>
    <tableColumn id="5" xr3:uid="{CD2BD16A-73B9-458E-8A2A-B0F2ABF98EC8}" name="System UI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6542B21-7DFA-8A4B-A64C-CE146CA12771}" name="MD1A" displayName="MD1A" ref="A1:K10" totalsRowShown="0" tableBorderDxfId="48">
  <autoFilter ref="A1:K10" xr:uid="{78E923BF-BF72-B644-99BB-3667E911EE9D}"/>
  <tableColumns count="11">
    <tableColumn id="2" xr3:uid="{2375DDF5-03CD-9E4E-A0AE-4A333FA15E6E}" name="Service ID"/>
    <tableColumn id="1" xr3:uid="{23D4254F-BE4A-C040-8A0F-F41F121905A2}" name="Role"/>
    <tableColumn id="13" xr3:uid="{C6A69763-DD52-D84E-87A3-FCAE3DD34ABA}" name="Distribution"/>
    <tableColumn id="14" xr3:uid="{FF6D5DCC-3C81-C14C-8892-5DB02EDBFF4F}" name="Match" dataDxfId="47">
      <calculatedColumnFormula>#REF!&amp;" v "&amp;#REF!</calculatedColumnFormula>
    </tableColumn>
    <tableColumn id="7" xr3:uid="{036D6488-360A-1949-BD30-957B3C5B3788}" name="Real IBC Time" dataDxfId="46">
      <calculatedColumnFormula array="1">_xlfn.IFS(MD1A[[#This Row],[reference wisle]]="KO",#REF!+(MD1A[[#This Row],[Time to KO]]/1440),MD1A[[#This Row],[reference wisle]]="FW",#REF!+(MD1A[[#This Row],[Time to KO]]/1440),MD1A[[#This Row],[reference wisle]]="EOD","End of Feed")</calculatedColumnFormula>
    </tableColumn>
    <tableColumn id="6" xr3:uid="{9D8A5827-A631-EA4B-BA30-B03DAD24DA3E}" name="Time to KO" dataDxfId="45">
      <calculatedColumnFormula>MD1A[[#This Row],[time value]]*MD1A[[#This Row],[multiplicator]]</calculatedColumnFormula>
    </tableColumn>
    <tableColumn id="12" xr3:uid="{60D7F58B-D8CF-904F-8011-C7336F4D3F16}" name="multiplicator" dataDxfId="44"/>
    <tableColumn id="11" xr3:uid="{292B0626-FD36-154F-9A9A-FBED93C8FADD}" name="time value" dataDxfId="43"/>
    <tableColumn id="8" xr3:uid="{D33A22C7-41AF-A04B-A0F4-5E8FE55ADC6A}" name="reference wisle" dataDxfId="42"/>
    <tableColumn id="9" xr3:uid="{30F3ACB7-A713-E942-B535-A481730FB6A1}" name="Task" dataDxfId="41"/>
    <tableColumn id="10" xr3:uid="{8B21D02B-A1E6-EC40-8C82-D2CC76D9F154}" name="System UI" dataDxfId="40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46DAE14-AA12-5644-8EEB-2812B7DB9A81}" name="MD1B" displayName="MD1B" ref="A1:K10" totalsRowShown="0" tableBorderDxfId="39">
  <autoFilter ref="A1:K10" xr:uid="{78E923BF-BF72-B644-99BB-3667E911EE9D}"/>
  <tableColumns count="11">
    <tableColumn id="2" xr3:uid="{BFC435F6-D9F0-8B4A-940F-3C831E3609C7}" name="Service ID"/>
    <tableColumn id="1" xr3:uid="{10AD864A-0D2E-1F41-A4BA-6CABCE124918}" name="Role"/>
    <tableColumn id="13" xr3:uid="{08DBC9C2-91DC-974B-BE79-7D09D5DCE47C}" name="Distribution"/>
    <tableColumn id="14" xr3:uid="{814BC678-9D72-364B-AEDA-3A74DEF226C5}" name="Match"/>
    <tableColumn id="7" xr3:uid="{CAD34E4A-241D-5D49-BD37-70E8EDC0CA68}" name="Real IBC Time" dataDxfId="38">
      <calculatedColumnFormula array="1">_xlfn.IFS(MD1B[[#This Row],[reference wisle]]="KO",#REF!+(MD1B[[#This Row],[Time to KO]]/1440),MD1B[[#This Row],[reference wisle]]="FW",#REF!+(MD1B[[#This Row],[Time to KO]]/1440),MD1B[[#This Row],[reference wisle]]="EOD","End of Feed")</calculatedColumnFormula>
    </tableColumn>
    <tableColumn id="6" xr3:uid="{BF895B90-9B69-E945-A8BE-4AA243BC1EEB}" name="Time to KO" dataDxfId="37">
      <calculatedColumnFormula>MD1B[[#This Row],[time value]]*MD1B[[#This Row],[multiplicator]]</calculatedColumnFormula>
    </tableColumn>
    <tableColumn id="12" xr3:uid="{66F0D4B6-5C90-B04F-9BFD-9845353ABA31}" name="multiplicator" dataDxfId="36"/>
    <tableColumn id="11" xr3:uid="{52AE539E-CEAF-DD4D-8753-733DCE6540B1}" name="time value" dataDxfId="35"/>
    <tableColumn id="8" xr3:uid="{43F05B82-266C-FF4D-93B3-25A9206A5084}" name="reference wisle" dataDxfId="34"/>
    <tableColumn id="9" xr3:uid="{D0B9582D-C523-C147-AA85-59F8F15E55B1}" name="Task" dataDxfId="33"/>
    <tableColumn id="10" xr3:uid="{DC727B34-8D0A-2F45-9AB5-5F595ED029BD}" name="System UI" dataDxfId="32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BB029DB-0019-7E43-AB3F-C11FA874C373}" name="MD1C" displayName="MD1C" ref="A1:K10" totalsRowShown="0" tableBorderDxfId="31">
  <autoFilter ref="A1:K10" xr:uid="{78E923BF-BF72-B644-99BB-3667E911EE9D}"/>
  <tableColumns count="11">
    <tableColumn id="2" xr3:uid="{392B8FB6-25AF-5943-A67C-CABFEFE61C5F}" name="Service ID"/>
    <tableColumn id="1" xr3:uid="{86E86A8E-73F2-5C4C-B12F-4163BF1AC37E}" name="Role"/>
    <tableColumn id="13" xr3:uid="{F907D837-C7BC-CF4E-BFDF-61F91564D5E4}" name="Distribution"/>
    <tableColumn id="14" xr3:uid="{38B6FACB-CE92-284A-A6D1-0ACE4049A671}" name="Match"/>
    <tableColumn id="7" xr3:uid="{D49FB8FE-8116-574B-AB78-F10D126BEB2B}" name="Real IBC Time" dataDxfId="30">
      <calculatedColumnFormula array="1">_xlfn.IFS(MD1C[[#This Row],[reference wisle]]="KO",#REF!+(MD1C[[#This Row],[Time to KO]]/1440),MD1C[[#This Row],[reference wisle]]="FW",#REF!+(MD1C[[#This Row],[Time to KO]]/1440),MD1C[[#This Row],[reference wisle]]="EOD","End of Feed")</calculatedColumnFormula>
    </tableColumn>
    <tableColumn id="6" xr3:uid="{E0B14C6E-7C36-F349-844A-07FE99C08103}" name="Time to KO" dataDxfId="29">
      <calculatedColumnFormula>MD1C[[#This Row],[time value]]*MD1C[[#This Row],[multiplicator]]</calculatedColumnFormula>
    </tableColumn>
    <tableColumn id="12" xr3:uid="{762BDD2B-0DB7-EA4C-99A0-91B1607E3B38}" name="multiplicator" dataDxfId="28"/>
    <tableColumn id="11" xr3:uid="{FEE5C3EF-4F27-0741-AEDF-88550A32FC6F}" name="time value" dataDxfId="27"/>
    <tableColumn id="8" xr3:uid="{5AA141F9-8A27-B942-B393-A3BBC77FA623}" name="reference wisle" dataDxfId="26"/>
    <tableColumn id="9" xr3:uid="{2431857F-B5E0-1A4B-8FFE-6194651DB619}" name="Task" dataDxfId="25"/>
    <tableColumn id="10" xr3:uid="{E6E0A32C-926A-B747-8C55-C9A81C767D91}" name="System UI" dataDxfId="24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DB427DD-5754-1E42-AB64-D0306EB5D134}" name="MD1D" displayName="MD1D" ref="A1:K10" totalsRowShown="0" tableBorderDxfId="23">
  <autoFilter ref="A1:K10" xr:uid="{78E923BF-BF72-B644-99BB-3667E911EE9D}"/>
  <tableColumns count="11">
    <tableColumn id="2" xr3:uid="{27DB9FC1-F836-C949-AFAB-822490FB00BD}" name="Service ID"/>
    <tableColumn id="1" xr3:uid="{F3D34600-E1A6-9540-BAB8-7CBE240CB44B}" name="Role"/>
    <tableColumn id="13" xr3:uid="{059392D1-8278-6B42-9A19-A402573FC502}" name="Distribution"/>
    <tableColumn id="14" xr3:uid="{5E6DA5D0-AE8C-C549-9A77-2848286C18A3}" name="Match"/>
    <tableColumn id="7" xr3:uid="{46813D28-AA9B-0143-9710-34DB3B457A0B}" name="Real IBC Time" dataDxfId="22">
      <calculatedColumnFormula array="1">_xlfn.IFS(MD1D[[#This Row],[reference wisle]]="KO",#REF!+(MD1D[[#This Row],[Time to KO]]/1440),MD1D[[#This Row],[reference wisle]]="FW",#REF!+(MD1D[[#This Row],[Time to KO]]/1440),MD1D[[#This Row],[reference wisle]]="EOD","End of Feed")</calculatedColumnFormula>
    </tableColumn>
    <tableColumn id="6" xr3:uid="{6D77D689-1A6C-F34F-8E7F-0D7F5804D146}" name="Time to KO" dataDxfId="21">
      <calculatedColumnFormula>MD1D[[#This Row],[time value]]*MD1D[[#This Row],[multiplicator]]</calculatedColumnFormula>
    </tableColumn>
    <tableColumn id="12" xr3:uid="{153F91D9-ECA6-4E47-A8B1-B3726B0D876B}" name="multiplicator" dataDxfId="20"/>
    <tableColumn id="11" xr3:uid="{F3ED0A22-E4ED-7E47-9C84-639CEF69A399}" name="time value" dataDxfId="19"/>
    <tableColumn id="8" xr3:uid="{E081AB44-E383-1F4D-BB89-8D3ABC240B51}" name="reference wisle" dataDxfId="18"/>
    <tableColumn id="9" xr3:uid="{84EBE245-755F-5440-9B7A-13E6E12ABD4C}" name="Task" dataDxfId="17"/>
    <tableColumn id="10" xr3:uid="{289099C4-B515-4C4C-AD1B-A057259D20EA}" name="System UI" dataDxfId="16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B6E49C-88F6-6D4B-BBD1-A636573546D6}" name="MD1E" displayName="MD1E" ref="A1:K10" totalsRowShown="0" tableBorderDxfId="15">
  <autoFilter ref="A1:K10" xr:uid="{78E923BF-BF72-B644-99BB-3667E911EE9D}"/>
  <tableColumns count="11">
    <tableColumn id="2" xr3:uid="{0E6E8A0C-935C-DB48-9C9B-E85F1016579C}" name="Service ID"/>
    <tableColumn id="1" xr3:uid="{C4188F7A-87BF-2048-9C93-9B34CA13DF63}" name="Role"/>
    <tableColumn id="13" xr3:uid="{61DF67A2-2208-1F4A-A0D6-8CB98B0D9E23}" name="Distribution"/>
    <tableColumn id="14" xr3:uid="{B827D6A9-BC4B-4B4C-98A5-4B9406B3AD6F}" name="Match"/>
    <tableColumn id="7" xr3:uid="{9F9419B9-690C-2D4B-86CF-0C7964F23FB0}" name="Real IBC Time" dataDxfId="14">
      <calculatedColumnFormula array="1">_xlfn.IFS(MD1E[[#This Row],[reference wisle]]="KO",#REF!+(MD1E[[#This Row],[Time to KO]]/1440),MD1E[[#This Row],[reference wisle]]="FW",#REF!+(MD1E[[#This Row],[Time to KO]]/1440),MD1E[[#This Row],[reference wisle]]="EOD","End of Feed")</calculatedColumnFormula>
    </tableColumn>
    <tableColumn id="6" xr3:uid="{5D04EC15-F808-724C-84C3-8F3C5EDFBC56}" name="Time to KO" dataDxfId="13">
      <calculatedColumnFormula>MD1E[[#This Row],[time value]]*MD1E[[#This Row],[multiplicator]]</calculatedColumnFormula>
    </tableColumn>
    <tableColumn id="12" xr3:uid="{B340CDE8-54AA-7542-851A-14A451BDE05B}" name="multiplicator" dataDxfId="12"/>
    <tableColumn id="11" xr3:uid="{E88D550F-F6A5-7C48-80C2-5312F9C33EEF}" name="time value" dataDxfId="11"/>
    <tableColumn id="8" xr3:uid="{8B3B2945-0416-1B41-A625-5E221C2124FC}" name="reference wisle" dataDxfId="10"/>
    <tableColumn id="9" xr3:uid="{252C9158-224A-3745-92F4-838897CF5CF7}" name="Task" dataDxfId="9"/>
    <tableColumn id="10" xr3:uid="{020367BC-B583-A647-8947-D46BA33833E9}" name="System UI" dataDxfId="8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FBEC068-9237-1749-8EE6-279993E4D25C}" name="MD1F" displayName="MD1F" ref="A1:K10" totalsRowShown="0" tableBorderDxfId="7">
  <autoFilter ref="A1:K10" xr:uid="{78E923BF-BF72-B644-99BB-3667E911EE9D}"/>
  <tableColumns count="11">
    <tableColumn id="2" xr3:uid="{6B53E977-B517-B44E-8820-1217B5391646}" name="Service ID"/>
    <tableColumn id="1" xr3:uid="{8B1F6798-8AD3-4041-8455-A973945993E5}" name="Role"/>
    <tableColumn id="13" xr3:uid="{31E3B8C2-8183-9B47-A821-A266937B5E9C}" name="Distribution"/>
    <tableColumn id="14" xr3:uid="{711372CC-ECB8-3749-9BEF-874431240924}" name="Match"/>
    <tableColumn id="7" xr3:uid="{95CC310D-8BFE-F340-8384-E007B4F05A2D}" name="Real IBC Time" dataDxfId="6">
      <calculatedColumnFormula array="1">_xlfn.IFS(MD1F[[#This Row],[reference wisle]]="KO",#REF!+(MD1F[[#This Row],[Time to KO]]/1440),MD1F[[#This Row],[reference wisle]]="FW",#REF!+(MD1F[[#This Row],[Time to KO]]/1440),MD1F[[#This Row],[reference wisle]]="EOD","End of Feed")</calculatedColumnFormula>
    </tableColumn>
    <tableColumn id="6" xr3:uid="{954549F8-DFF3-A449-A295-1032F524EF9B}" name="Time to KO" dataDxfId="5">
      <calculatedColumnFormula>MD1F[[#This Row],[time value]]*MD1F[[#This Row],[multiplicator]]</calculatedColumnFormula>
    </tableColumn>
    <tableColumn id="12" xr3:uid="{AFD6C515-BDCB-9542-BA2A-C279749D1FAD}" name="multiplicator" dataDxfId="4"/>
    <tableColumn id="11" xr3:uid="{9A0AE9BC-0530-2445-BB9E-19B935212AFD}" name="time value" dataDxfId="3"/>
    <tableColumn id="8" xr3:uid="{7D26DA97-CE33-CD42-961B-7C6965EEBFEC}" name="reference wisle" dataDxfId="2"/>
    <tableColumn id="9" xr3:uid="{96255E3A-5F17-F745-AAF9-26FA1E1A782C}" name="Task" dataDxfId="1"/>
    <tableColumn id="10" xr3:uid="{1D688FB3-1D77-B140-AD21-18ADFFF71F8C}" name="System UI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2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1" Type="http://schemas.openxmlformats.org/officeDocument/2006/relationships/hyperlink" Target="https://client.syncwords.com/" TargetMode="External"/><Relationship Id="rId5" Type="http://schemas.openxmlformats.org/officeDocument/2006/relationships/table" Target="../tables/table31.xml"/><Relationship Id="rId4" Type="http://schemas.openxmlformats.org/officeDocument/2006/relationships/hyperlink" Target="https://client.syncwords.com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2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1" Type="http://schemas.openxmlformats.org/officeDocument/2006/relationships/hyperlink" Target="https://client.syncwords.com/" TargetMode="External"/><Relationship Id="rId5" Type="http://schemas.openxmlformats.org/officeDocument/2006/relationships/table" Target="../tables/table32.xml"/><Relationship Id="rId4" Type="http://schemas.openxmlformats.org/officeDocument/2006/relationships/hyperlink" Target="https://client.syncwords.com/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2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1" Type="http://schemas.openxmlformats.org/officeDocument/2006/relationships/hyperlink" Target="https://client.syncwords.com/" TargetMode="External"/><Relationship Id="rId5" Type="http://schemas.openxmlformats.org/officeDocument/2006/relationships/table" Target="../tables/table33.xml"/><Relationship Id="rId4" Type="http://schemas.openxmlformats.org/officeDocument/2006/relationships/hyperlink" Target="https://client.syncwords.com/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2" Type="http://schemas.openxmlformats.org/officeDocument/2006/relationships/hyperlink" Target="https://hostbroadcastservices.sharepoint.com/:u:/r/sites/P-FWC26-OpsWorkspace/Shared%20Documents/OPS%20-%20DIGITAL%20SERVICES/01.%20General/VLCMultiview.ps1?csf=1&amp;web=1&amp;e=NuCIZJ" TargetMode="External"/><Relationship Id="rId1" Type="http://schemas.openxmlformats.org/officeDocument/2006/relationships/hyperlink" Target="https://client.syncwords.com/" TargetMode="External"/><Relationship Id="rId5" Type="http://schemas.openxmlformats.org/officeDocument/2006/relationships/table" Target="../tables/table34.xml"/><Relationship Id="rId4" Type="http://schemas.openxmlformats.org/officeDocument/2006/relationships/hyperlink" Target="https://client.syncwords.com/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64B7-1233-7547-9DE5-149EB30A899C}">
  <dimension ref="A1:T105"/>
  <sheetViews>
    <sheetView tabSelected="1" topLeftCell="D1" workbookViewId="0">
      <selection activeCell="D11" sqref="D11"/>
    </sheetView>
  </sheetViews>
  <sheetFormatPr defaultColWidth="11" defaultRowHeight="15.6" x14ac:dyDescent="0.3"/>
  <cols>
    <col min="1" max="1" width="5.5" bestFit="1" customWidth="1"/>
    <col min="2" max="2" width="6.59765625" bestFit="1" customWidth="1"/>
    <col min="3" max="3" width="11.3984375" customWidth="1"/>
    <col min="4" max="4" width="11.8984375" bestFit="1" customWidth="1"/>
    <col min="5" max="6" width="11" bestFit="1" customWidth="1"/>
    <col min="7" max="7" width="13.59765625" bestFit="1" customWidth="1"/>
    <col min="8" max="8" width="13.5" bestFit="1" customWidth="1"/>
    <col min="9" max="9" width="11.5" bestFit="1" customWidth="1"/>
    <col min="10" max="10" width="10.8984375" bestFit="1" customWidth="1"/>
    <col min="11" max="11" width="20.09765625" bestFit="1" customWidth="1"/>
    <col min="12" max="12" width="12.3984375" bestFit="1" customWidth="1"/>
    <col min="13" max="13" width="20.09765625" bestFit="1" customWidth="1"/>
    <col min="14" max="14" width="12.3984375" bestFit="1" customWidth="1"/>
    <col min="15" max="15" width="12.59765625" bestFit="1" customWidth="1"/>
    <col min="16" max="16" width="15.59765625" customWidth="1"/>
    <col min="17" max="17" width="15.8984375" bestFit="1" customWidth="1"/>
    <col min="18" max="18" width="11.5" bestFit="1" customWidth="1"/>
    <col min="19" max="19" width="15.8984375" bestFit="1" customWidth="1"/>
    <col min="20" max="20" width="11.5" bestFit="1" customWidth="1"/>
  </cols>
  <sheetData>
    <row r="1" spans="1:20" x14ac:dyDescent="0.3">
      <c r="A1" t="s">
        <v>203</v>
      </c>
      <c r="B1" t="s">
        <v>204</v>
      </c>
      <c r="C1" t="s">
        <v>199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201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</row>
    <row r="2" spans="1:20" x14ac:dyDescent="0.3">
      <c r="A2">
        <v>1</v>
      </c>
      <c r="B2">
        <v>1</v>
      </c>
      <c r="C2" s="8">
        <v>46184</v>
      </c>
      <c r="D2" s="9">
        <v>0.54166666666666663</v>
      </c>
      <c r="E2" s="9">
        <v>0.79166666666666663</v>
      </c>
      <c r="F2" s="9">
        <v>0.58333333333333326</v>
      </c>
      <c r="G2" s="9">
        <v>0.58333333333333326</v>
      </c>
      <c r="H2" s="9">
        <v>0.83333333333333326</v>
      </c>
      <c r="I2" t="s">
        <v>221</v>
      </c>
      <c r="J2" t="s">
        <v>30</v>
      </c>
      <c r="K2" t="s">
        <v>222</v>
      </c>
      <c r="L2" t="s">
        <v>223</v>
      </c>
      <c r="M2" t="s">
        <v>224</v>
      </c>
      <c r="N2" t="s">
        <v>225</v>
      </c>
      <c r="O2" t="s">
        <v>226</v>
      </c>
      <c r="P2" t="s">
        <v>227</v>
      </c>
      <c r="Q2" s="35">
        <v>0.5</v>
      </c>
      <c r="R2" s="35">
        <v>0.64583333333333326</v>
      </c>
      <c r="S2" s="35">
        <v>0.75</v>
      </c>
      <c r="T2" s="36">
        <v>0.6875</v>
      </c>
    </row>
    <row r="3" spans="1:20" x14ac:dyDescent="0.3">
      <c r="A3">
        <v>2</v>
      </c>
      <c r="B3">
        <v>1</v>
      </c>
      <c r="C3" s="8">
        <v>46184</v>
      </c>
      <c r="D3" s="9">
        <v>0.83333333333333326</v>
      </c>
      <c r="E3" s="9">
        <v>8.3333333333333329E-2</v>
      </c>
      <c r="F3" s="9">
        <v>0.875</v>
      </c>
      <c r="G3" s="9">
        <v>0.875</v>
      </c>
      <c r="H3" s="9">
        <v>0.125</v>
      </c>
      <c r="I3" t="s">
        <v>221</v>
      </c>
      <c r="J3" t="s">
        <v>91</v>
      </c>
      <c r="K3" t="s">
        <v>228</v>
      </c>
      <c r="L3" t="s">
        <v>229</v>
      </c>
      <c r="M3" t="s">
        <v>230</v>
      </c>
      <c r="N3" t="s">
        <v>231</v>
      </c>
      <c r="O3" t="s">
        <v>232</v>
      </c>
      <c r="P3" t="s">
        <v>233</v>
      </c>
      <c r="Q3" s="37">
        <v>0.72916666666666663</v>
      </c>
      <c r="R3" s="37">
        <v>0.64583333333333326</v>
      </c>
      <c r="S3" s="37">
        <v>0.78125</v>
      </c>
      <c r="T3" s="38">
        <v>0.6875</v>
      </c>
    </row>
    <row r="4" spans="1:20" x14ac:dyDescent="0.3">
      <c r="A4">
        <v>3</v>
      </c>
      <c r="B4">
        <v>2</v>
      </c>
      <c r="C4" s="8">
        <v>46185</v>
      </c>
      <c r="D4" s="9">
        <v>0.625</v>
      </c>
      <c r="E4" s="9">
        <v>0.79166666666666663</v>
      </c>
      <c r="F4" s="9">
        <v>0.58333333333333326</v>
      </c>
      <c r="G4" s="9">
        <v>0.58333333333333326</v>
      </c>
      <c r="H4" s="9">
        <v>0.83333333333333326</v>
      </c>
      <c r="I4" t="s">
        <v>234</v>
      </c>
      <c r="J4" t="s">
        <v>30</v>
      </c>
      <c r="K4" t="s">
        <v>235</v>
      </c>
      <c r="L4" t="s">
        <v>236</v>
      </c>
      <c r="M4" t="s">
        <v>237</v>
      </c>
      <c r="N4" t="s">
        <v>238</v>
      </c>
      <c r="O4" t="s">
        <v>239</v>
      </c>
      <c r="P4" t="s">
        <v>240</v>
      </c>
      <c r="Q4" s="35">
        <v>0.58333333333333326</v>
      </c>
      <c r="R4" s="35">
        <v>0.70833333333333337</v>
      </c>
      <c r="S4" s="35">
        <v>0.41666666666666663</v>
      </c>
      <c r="T4" s="36">
        <v>0.73958333333333326</v>
      </c>
    </row>
    <row r="5" spans="1:20" x14ac:dyDescent="0.3">
      <c r="A5">
        <v>4</v>
      </c>
      <c r="B5">
        <v>2</v>
      </c>
      <c r="C5" s="8">
        <v>46185</v>
      </c>
      <c r="D5" s="9">
        <v>0.75</v>
      </c>
      <c r="E5" s="9">
        <v>4.1666666666666664E-2</v>
      </c>
      <c r="F5" s="9">
        <v>0.83333333333333326</v>
      </c>
      <c r="G5" s="9">
        <v>0.83333333333333326</v>
      </c>
      <c r="H5" s="9">
        <v>8.3333333333333329E-2</v>
      </c>
      <c r="I5" t="s">
        <v>241</v>
      </c>
      <c r="J5" t="s">
        <v>91</v>
      </c>
      <c r="K5" t="s">
        <v>242</v>
      </c>
      <c r="L5" t="s">
        <v>243</v>
      </c>
      <c r="M5" t="s">
        <v>244</v>
      </c>
      <c r="N5" t="s">
        <v>245</v>
      </c>
      <c r="O5" t="s">
        <v>246</v>
      </c>
      <c r="P5" t="s">
        <v>247</v>
      </c>
      <c r="Q5" s="37">
        <v>0.54166666666666663</v>
      </c>
      <c r="R5" s="37">
        <v>0.70833333333333337</v>
      </c>
      <c r="S5" s="37">
        <v>0.45833333333333331</v>
      </c>
      <c r="T5" s="38">
        <v>0.86458333333333326</v>
      </c>
    </row>
    <row r="6" spans="1:20" x14ac:dyDescent="0.3">
      <c r="A6">
        <v>5</v>
      </c>
      <c r="B6">
        <v>3</v>
      </c>
      <c r="C6" s="8">
        <v>46186</v>
      </c>
      <c r="D6" s="9">
        <v>0.875</v>
      </c>
      <c r="E6" s="9">
        <v>4.1666666666666664E-2</v>
      </c>
      <c r="F6" s="9">
        <v>0.83333333333333326</v>
      </c>
      <c r="G6" s="9">
        <v>0.83333333333333326</v>
      </c>
      <c r="H6" s="9">
        <v>8.3333333333333329E-2</v>
      </c>
      <c r="I6" t="s">
        <v>234</v>
      </c>
      <c r="J6" t="s">
        <v>144</v>
      </c>
      <c r="K6" t="s">
        <v>248</v>
      </c>
      <c r="L6" t="s">
        <v>249</v>
      </c>
      <c r="M6" t="s">
        <v>250</v>
      </c>
      <c r="N6" t="s">
        <v>251</v>
      </c>
      <c r="O6" t="s">
        <v>145</v>
      </c>
      <c r="P6" t="s">
        <v>252</v>
      </c>
      <c r="Q6" s="35">
        <v>0.70833333333333326</v>
      </c>
      <c r="R6" s="35">
        <v>0.66666666666666663</v>
      </c>
      <c r="S6" s="35">
        <v>0.375</v>
      </c>
      <c r="T6" s="36">
        <v>0.46875</v>
      </c>
    </row>
    <row r="7" spans="1:20" x14ac:dyDescent="0.3">
      <c r="A7">
        <v>6</v>
      </c>
      <c r="B7">
        <v>3</v>
      </c>
      <c r="C7" s="8">
        <v>46186</v>
      </c>
      <c r="D7" s="9">
        <v>0.875</v>
      </c>
      <c r="E7" s="9">
        <v>0.16666666666666666</v>
      </c>
      <c r="F7" s="9">
        <v>0.95833333333333326</v>
      </c>
      <c r="G7" s="9">
        <v>0.95833333333333326</v>
      </c>
      <c r="H7" s="9">
        <v>0.20833333333333331</v>
      </c>
      <c r="I7" t="s">
        <v>241</v>
      </c>
      <c r="J7" t="s">
        <v>170</v>
      </c>
      <c r="K7" t="s">
        <v>253</v>
      </c>
      <c r="L7" t="s">
        <v>254</v>
      </c>
      <c r="M7" t="s">
        <v>255</v>
      </c>
      <c r="N7" t="s">
        <v>256</v>
      </c>
      <c r="O7" t="s">
        <v>171</v>
      </c>
      <c r="P7" t="s">
        <v>257</v>
      </c>
      <c r="Q7" s="37">
        <v>0.875</v>
      </c>
      <c r="R7" s="37">
        <v>0.8125</v>
      </c>
      <c r="S7" s="37">
        <v>0.70833333333333326</v>
      </c>
      <c r="T7" s="38">
        <v>0.85416666666666663</v>
      </c>
    </row>
    <row r="8" spans="1:20" x14ac:dyDescent="0.3">
      <c r="A8">
        <v>7</v>
      </c>
      <c r="B8">
        <v>3</v>
      </c>
      <c r="C8" s="8">
        <v>46186</v>
      </c>
      <c r="D8" s="9">
        <v>0.75</v>
      </c>
      <c r="E8" s="9">
        <v>0.91666666666666663</v>
      </c>
      <c r="F8" s="9">
        <v>0.70833333333333326</v>
      </c>
      <c r="G8" s="9">
        <v>0.70833333333333326</v>
      </c>
      <c r="H8" s="9">
        <v>0.95833333333333326</v>
      </c>
      <c r="I8" t="s">
        <v>234</v>
      </c>
      <c r="J8" t="s">
        <v>91</v>
      </c>
      <c r="K8" t="s">
        <v>258</v>
      </c>
      <c r="L8" t="s">
        <v>259</v>
      </c>
      <c r="M8" t="s">
        <v>260</v>
      </c>
      <c r="N8" t="s">
        <v>261</v>
      </c>
      <c r="O8" t="s">
        <v>92</v>
      </c>
      <c r="P8" t="s">
        <v>262</v>
      </c>
      <c r="Q8" s="35">
        <v>0.41666666666666669</v>
      </c>
      <c r="R8" s="35">
        <v>0.63541666666666663</v>
      </c>
      <c r="S8" s="35">
        <v>0.70833333333333326</v>
      </c>
      <c r="T8" s="36">
        <v>0.60416666666666663</v>
      </c>
    </row>
    <row r="9" spans="1:20" x14ac:dyDescent="0.3">
      <c r="A9">
        <v>8</v>
      </c>
      <c r="B9">
        <v>3</v>
      </c>
      <c r="C9" s="8">
        <v>46186</v>
      </c>
      <c r="D9" s="9">
        <v>0.5</v>
      </c>
      <c r="E9" s="9">
        <v>0.79166666666666663</v>
      </c>
      <c r="F9" s="9">
        <v>0.58333333333333326</v>
      </c>
      <c r="G9" s="9">
        <v>0.58333333333333326</v>
      </c>
      <c r="H9" s="9">
        <v>0.83333333333333326</v>
      </c>
      <c r="I9" t="s">
        <v>241</v>
      </c>
      <c r="J9" t="s">
        <v>30</v>
      </c>
      <c r="K9" t="s">
        <v>263</v>
      </c>
      <c r="L9" t="s">
        <v>264</v>
      </c>
      <c r="M9" t="s">
        <v>265</v>
      </c>
      <c r="N9" t="s">
        <v>266</v>
      </c>
      <c r="O9" t="s">
        <v>31</v>
      </c>
      <c r="P9" t="s">
        <v>267</v>
      </c>
      <c r="Q9" s="37">
        <v>0.5</v>
      </c>
      <c r="R9" s="37">
        <v>0.73958333333333326</v>
      </c>
      <c r="S9" s="37">
        <v>0.51041666666666663</v>
      </c>
      <c r="T9" s="38">
        <v>0.86458333333333326</v>
      </c>
    </row>
    <row r="10" spans="1:20" x14ac:dyDescent="0.3">
      <c r="A10">
        <v>9</v>
      </c>
      <c r="B10">
        <v>4</v>
      </c>
      <c r="C10" s="8">
        <v>46187</v>
      </c>
      <c r="D10" s="9">
        <v>0.79166666666666663</v>
      </c>
      <c r="E10" s="9">
        <v>0.95833333333333326</v>
      </c>
      <c r="F10" s="9">
        <v>0.75</v>
      </c>
      <c r="G10" s="9">
        <v>0.75</v>
      </c>
      <c r="H10" s="9">
        <v>0</v>
      </c>
      <c r="I10" t="s">
        <v>234</v>
      </c>
      <c r="J10" t="s">
        <v>144</v>
      </c>
      <c r="K10" t="s">
        <v>268</v>
      </c>
      <c r="L10" t="s">
        <v>137</v>
      </c>
      <c r="M10" t="s">
        <v>269</v>
      </c>
      <c r="N10" t="s">
        <v>17</v>
      </c>
      <c r="O10" t="s">
        <v>16</v>
      </c>
      <c r="P10" t="s">
        <v>270</v>
      </c>
      <c r="Q10" s="39">
        <v>0.66666666666666663</v>
      </c>
      <c r="R10" s="39">
        <v>0.61458333333333326</v>
      </c>
      <c r="S10" s="39">
        <v>0.33333333333333331</v>
      </c>
      <c r="T10" s="40">
        <v>0.73958333333333326</v>
      </c>
    </row>
    <row r="11" spans="1:20" x14ac:dyDescent="0.3">
      <c r="A11">
        <v>10</v>
      </c>
      <c r="B11">
        <v>4</v>
      </c>
      <c r="C11" s="8">
        <v>46187</v>
      </c>
      <c r="D11" s="9">
        <v>0.5</v>
      </c>
      <c r="E11" s="9">
        <v>0.70833333333333326</v>
      </c>
      <c r="F11" s="9">
        <v>0.5</v>
      </c>
      <c r="G11" s="9">
        <v>0.5</v>
      </c>
      <c r="H11" s="9">
        <v>0.75</v>
      </c>
      <c r="I11" t="s">
        <v>271</v>
      </c>
      <c r="J11" t="s">
        <v>30</v>
      </c>
      <c r="K11" t="s">
        <v>272</v>
      </c>
      <c r="L11" t="s">
        <v>24</v>
      </c>
      <c r="M11" t="s">
        <v>273</v>
      </c>
      <c r="N11" t="s">
        <v>26</v>
      </c>
      <c r="O11" t="s">
        <v>22</v>
      </c>
      <c r="P11" t="s">
        <v>274</v>
      </c>
      <c r="Q11" s="39">
        <v>0.375</v>
      </c>
      <c r="R11" s="39">
        <v>0.78125</v>
      </c>
      <c r="S11" s="39">
        <v>0.375</v>
      </c>
      <c r="T11" s="40">
        <v>0.82291666666666663</v>
      </c>
    </row>
    <row r="12" spans="1:20" x14ac:dyDescent="0.3">
      <c r="A12">
        <v>11</v>
      </c>
      <c r="B12">
        <v>4</v>
      </c>
      <c r="C12" s="8">
        <v>46187</v>
      </c>
      <c r="D12" s="9">
        <v>0.625</v>
      </c>
      <c r="E12" s="9">
        <v>0.83333333333333326</v>
      </c>
      <c r="F12" s="9">
        <v>0.625</v>
      </c>
      <c r="G12" s="9">
        <v>0.625</v>
      </c>
      <c r="H12" s="9">
        <v>0.875</v>
      </c>
      <c r="I12" t="s">
        <v>271</v>
      </c>
      <c r="J12" t="s">
        <v>91</v>
      </c>
      <c r="K12" t="s">
        <v>275</v>
      </c>
      <c r="L12" t="s">
        <v>33</v>
      </c>
      <c r="M12" t="s">
        <v>276</v>
      </c>
      <c r="N12" t="s">
        <v>29</v>
      </c>
      <c r="O12" t="s">
        <v>28</v>
      </c>
      <c r="P12" t="s">
        <v>277</v>
      </c>
      <c r="Q12" s="39">
        <v>0.4375</v>
      </c>
      <c r="R12" s="39">
        <v>0.78125</v>
      </c>
      <c r="S12" s="39">
        <v>0.41666666666666663</v>
      </c>
      <c r="T12" s="40">
        <v>0.65625</v>
      </c>
    </row>
    <row r="13" spans="1:20" x14ac:dyDescent="0.3">
      <c r="A13">
        <v>12</v>
      </c>
      <c r="B13">
        <v>4</v>
      </c>
      <c r="C13" s="8">
        <v>46187</v>
      </c>
      <c r="D13" s="9">
        <v>0.83333333333333326</v>
      </c>
      <c r="E13" s="9">
        <v>8.3333333333333329E-2</v>
      </c>
      <c r="F13" s="9">
        <v>0.875</v>
      </c>
      <c r="G13" s="9">
        <v>0.875</v>
      </c>
      <c r="H13" s="9">
        <v>0.125</v>
      </c>
      <c r="I13" t="s">
        <v>221</v>
      </c>
      <c r="J13" t="s">
        <v>170</v>
      </c>
      <c r="K13" t="s">
        <v>278</v>
      </c>
      <c r="L13" t="s">
        <v>141</v>
      </c>
      <c r="M13" t="s">
        <v>279</v>
      </c>
      <c r="N13" t="s">
        <v>168</v>
      </c>
      <c r="O13" t="s">
        <v>107</v>
      </c>
      <c r="P13" t="s">
        <v>280</v>
      </c>
      <c r="Q13" s="39">
        <v>0.79166666666666663</v>
      </c>
      <c r="R13" s="39">
        <v>0.64583333333333326</v>
      </c>
      <c r="S13" s="39">
        <v>0.875</v>
      </c>
      <c r="T13" s="40">
        <v>0.69791666666666663</v>
      </c>
    </row>
    <row r="14" spans="1:20" x14ac:dyDescent="0.3">
      <c r="A14">
        <v>13</v>
      </c>
      <c r="B14">
        <v>5</v>
      </c>
      <c r="C14" s="8">
        <v>46188</v>
      </c>
      <c r="D14" s="9">
        <v>0.75</v>
      </c>
      <c r="E14" s="9">
        <v>0.91666666666666663</v>
      </c>
      <c r="F14" s="9">
        <v>0.70833333333333326</v>
      </c>
      <c r="G14" s="9">
        <v>0.70833333333333326</v>
      </c>
      <c r="H14" s="9">
        <v>0.95833333333333326</v>
      </c>
      <c r="I14" t="s">
        <v>234</v>
      </c>
      <c r="J14" t="s">
        <v>144</v>
      </c>
      <c r="K14" t="s">
        <v>281</v>
      </c>
      <c r="L14" t="s">
        <v>282</v>
      </c>
      <c r="M14" t="s">
        <v>283</v>
      </c>
      <c r="N14" t="s">
        <v>284</v>
      </c>
      <c r="O14" t="s">
        <v>285</v>
      </c>
      <c r="P14" t="s">
        <v>286</v>
      </c>
      <c r="Q14" s="9">
        <v>0.70833333333333326</v>
      </c>
      <c r="R14" s="9">
        <v>0.61458333333333326</v>
      </c>
      <c r="S14" s="9">
        <v>0.375</v>
      </c>
      <c r="T14" s="9">
        <v>0.73958333333333326</v>
      </c>
    </row>
    <row r="15" spans="1:20" x14ac:dyDescent="0.3">
      <c r="A15">
        <v>14</v>
      </c>
      <c r="B15">
        <v>5</v>
      </c>
      <c r="C15" s="8">
        <v>46188</v>
      </c>
      <c r="D15" s="9">
        <v>0.5</v>
      </c>
      <c r="E15" s="9">
        <v>0.66666666666666663</v>
      </c>
      <c r="F15" s="9">
        <v>0.45833333333333331</v>
      </c>
      <c r="G15" s="9">
        <v>0.45833333333333331</v>
      </c>
      <c r="H15" s="9">
        <v>0.70833333333333326</v>
      </c>
      <c r="I15" t="s">
        <v>234</v>
      </c>
      <c r="J15" t="s">
        <v>30</v>
      </c>
      <c r="K15" t="s">
        <v>287</v>
      </c>
      <c r="L15" t="s">
        <v>288</v>
      </c>
      <c r="M15" t="s">
        <v>289</v>
      </c>
      <c r="N15" t="s">
        <v>290</v>
      </c>
      <c r="O15" t="s">
        <v>291</v>
      </c>
      <c r="P15" t="s">
        <v>292</v>
      </c>
      <c r="Q15" s="9">
        <v>0.39583333333333331</v>
      </c>
      <c r="R15" s="9">
        <v>0.61458333333333326</v>
      </c>
      <c r="S15" s="9">
        <v>0.54166666666666663</v>
      </c>
      <c r="T15" s="9">
        <v>0.73958333333333326</v>
      </c>
    </row>
    <row r="16" spans="1:20" x14ac:dyDescent="0.3">
      <c r="A16">
        <v>15</v>
      </c>
      <c r="B16">
        <v>5</v>
      </c>
      <c r="C16" s="8">
        <v>46188</v>
      </c>
      <c r="D16" s="9">
        <v>0.75</v>
      </c>
      <c r="E16" s="9">
        <v>4.1666666666666664E-2</v>
      </c>
      <c r="F16" s="9">
        <v>0.83333333333333326</v>
      </c>
      <c r="G16" s="9">
        <v>0.83333333333333326</v>
      </c>
      <c r="H16" s="9">
        <v>8.3333333333333329E-2</v>
      </c>
      <c r="I16" t="s">
        <v>241</v>
      </c>
      <c r="J16" t="s">
        <v>170</v>
      </c>
      <c r="K16" t="s">
        <v>293</v>
      </c>
      <c r="L16" t="s">
        <v>294</v>
      </c>
      <c r="M16" t="s">
        <v>295</v>
      </c>
      <c r="N16" t="s">
        <v>296</v>
      </c>
      <c r="O16" t="s">
        <v>297</v>
      </c>
      <c r="P16" t="s">
        <v>247</v>
      </c>
      <c r="Q16" s="9">
        <v>0.8125</v>
      </c>
      <c r="R16" s="9">
        <v>0.73958333333333326</v>
      </c>
      <c r="S16" s="9">
        <v>0.53125</v>
      </c>
      <c r="T16" s="9">
        <v>0.86458333333333326</v>
      </c>
    </row>
    <row r="17" spans="1:20" x14ac:dyDescent="0.3">
      <c r="A17">
        <v>16</v>
      </c>
      <c r="B17">
        <v>5</v>
      </c>
      <c r="C17" s="8">
        <v>46188</v>
      </c>
      <c r="D17" s="9">
        <v>0.5</v>
      </c>
      <c r="E17" s="9">
        <v>0.79166666666666663</v>
      </c>
      <c r="F17" s="9">
        <v>0.58333333333333326</v>
      </c>
      <c r="G17" s="9">
        <v>0.58333333333333326</v>
      </c>
      <c r="H17" s="9">
        <v>0.83333333333333326</v>
      </c>
      <c r="I17" t="s">
        <v>241</v>
      </c>
      <c r="J17" t="s">
        <v>91</v>
      </c>
      <c r="K17" t="s">
        <v>298</v>
      </c>
      <c r="L17" t="s">
        <v>299</v>
      </c>
      <c r="M17" t="s">
        <v>300</v>
      </c>
      <c r="N17" t="s">
        <v>301</v>
      </c>
      <c r="O17" t="s">
        <v>302</v>
      </c>
      <c r="P17" t="s">
        <v>303</v>
      </c>
      <c r="Q17" s="9">
        <v>0.54166666666666663</v>
      </c>
      <c r="R17" s="9">
        <v>0.6875</v>
      </c>
      <c r="S17" s="9">
        <v>0.5</v>
      </c>
      <c r="T17" s="9">
        <v>0.72916666666666663</v>
      </c>
    </row>
    <row r="18" spans="1:20" x14ac:dyDescent="0.3">
      <c r="A18">
        <v>17</v>
      </c>
      <c r="B18">
        <v>6</v>
      </c>
      <c r="C18" s="8">
        <v>46189</v>
      </c>
      <c r="D18" s="9">
        <v>0.625</v>
      </c>
      <c r="E18" s="9">
        <v>0.79166666666666663</v>
      </c>
      <c r="F18" s="9">
        <v>0.58333333333333326</v>
      </c>
      <c r="G18" s="9">
        <v>0.58333333333333326</v>
      </c>
      <c r="H18" s="9">
        <v>0.83333333333333326</v>
      </c>
      <c r="I18" t="s">
        <v>234</v>
      </c>
      <c r="J18" t="s">
        <v>30</v>
      </c>
      <c r="K18" t="s">
        <v>304</v>
      </c>
      <c r="L18" t="s">
        <v>305</v>
      </c>
      <c r="M18" t="s">
        <v>306</v>
      </c>
      <c r="N18" t="s">
        <v>307</v>
      </c>
      <c r="O18" t="s">
        <v>308</v>
      </c>
      <c r="P18" t="s">
        <v>262</v>
      </c>
      <c r="Q18" s="9">
        <v>0.625</v>
      </c>
      <c r="R18" s="9">
        <v>0.39583333333333331</v>
      </c>
      <c r="S18" s="9">
        <v>0.66666666666666663</v>
      </c>
      <c r="T18" s="9">
        <v>0.5625</v>
      </c>
    </row>
    <row r="19" spans="1:20" x14ac:dyDescent="0.3">
      <c r="A19">
        <v>18</v>
      </c>
      <c r="B19">
        <v>6</v>
      </c>
      <c r="C19" s="8">
        <v>46189</v>
      </c>
      <c r="D19" s="9">
        <v>0.75</v>
      </c>
      <c r="E19" s="9">
        <v>0.91666666666666663</v>
      </c>
      <c r="F19" s="9">
        <v>0.70833333333333326</v>
      </c>
      <c r="G19" s="9">
        <v>0.70833333333333326</v>
      </c>
      <c r="H19" s="9">
        <v>0.95833333333333326</v>
      </c>
      <c r="I19" t="s">
        <v>234</v>
      </c>
      <c r="J19" t="s">
        <v>91</v>
      </c>
      <c r="K19" t="s">
        <v>309</v>
      </c>
      <c r="L19" t="s">
        <v>310</v>
      </c>
      <c r="M19" t="s">
        <v>311</v>
      </c>
      <c r="N19" t="s">
        <v>312</v>
      </c>
      <c r="O19" t="s">
        <v>313</v>
      </c>
      <c r="P19" t="s">
        <v>252</v>
      </c>
      <c r="Q19" s="9">
        <v>0.72916666666666663</v>
      </c>
      <c r="R19" s="9">
        <v>0.79166666666666663</v>
      </c>
      <c r="S19" s="9">
        <v>0.60416666666666663</v>
      </c>
      <c r="T19" s="9">
        <v>0.66666666666666663</v>
      </c>
    </row>
    <row r="20" spans="1:20" x14ac:dyDescent="0.3">
      <c r="A20">
        <v>19</v>
      </c>
      <c r="B20">
        <v>6</v>
      </c>
      <c r="C20" s="8">
        <v>46189</v>
      </c>
      <c r="D20" s="9">
        <v>0.83333333333333326</v>
      </c>
      <c r="E20" s="9">
        <v>4.1666666666666664E-2</v>
      </c>
      <c r="F20" s="9">
        <v>0.83333333333333326</v>
      </c>
      <c r="G20" s="9">
        <v>0.83333333333333326</v>
      </c>
      <c r="H20" s="9">
        <v>8.3333333333333329E-2</v>
      </c>
      <c r="I20" t="s">
        <v>271</v>
      </c>
      <c r="J20" t="s">
        <v>144</v>
      </c>
      <c r="K20" t="s">
        <v>314</v>
      </c>
      <c r="L20" t="s">
        <v>315</v>
      </c>
      <c r="M20" t="s">
        <v>316</v>
      </c>
      <c r="N20" t="s">
        <v>317</v>
      </c>
      <c r="O20" t="s">
        <v>318</v>
      </c>
      <c r="P20" t="s">
        <v>319</v>
      </c>
      <c r="Q20" s="9">
        <v>0.75</v>
      </c>
      <c r="R20" s="9">
        <v>0.60416666666666663</v>
      </c>
      <c r="S20" s="9">
        <v>0.83333333333333326</v>
      </c>
      <c r="T20" s="9">
        <v>0.64583333333333326</v>
      </c>
    </row>
    <row r="21" spans="1:20" x14ac:dyDescent="0.3">
      <c r="A21">
        <v>20</v>
      </c>
      <c r="B21">
        <v>6</v>
      </c>
      <c r="C21" s="8">
        <v>46189</v>
      </c>
      <c r="D21" s="9">
        <v>0.875</v>
      </c>
      <c r="E21" s="9">
        <v>0.16666666666666666</v>
      </c>
      <c r="F21" s="9">
        <v>0.95833333333333326</v>
      </c>
      <c r="G21" s="9">
        <v>0.95833333333333326</v>
      </c>
      <c r="H21" s="9">
        <v>0.20833333333333331</v>
      </c>
      <c r="I21" t="s">
        <v>241</v>
      </c>
      <c r="J21" t="s">
        <v>170</v>
      </c>
      <c r="K21" t="s">
        <v>320</v>
      </c>
      <c r="L21" t="s">
        <v>321</v>
      </c>
      <c r="M21" t="s">
        <v>322</v>
      </c>
      <c r="N21" t="s">
        <v>323</v>
      </c>
      <c r="O21" t="s">
        <v>324</v>
      </c>
      <c r="P21" t="s">
        <v>267</v>
      </c>
      <c r="Q21" s="9">
        <v>0.54166666666666663</v>
      </c>
      <c r="R21" s="9">
        <v>0.86458333333333326</v>
      </c>
      <c r="S21" s="9">
        <v>0.91666666666666663</v>
      </c>
      <c r="T21" s="9">
        <v>0.73958333333333326</v>
      </c>
    </row>
    <row r="22" spans="1:20" x14ac:dyDescent="0.3">
      <c r="A22">
        <v>21</v>
      </c>
      <c r="B22">
        <v>7</v>
      </c>
      <c r="C22" s="8">
        <v>46190</v>
      </c>
      <c r="D22" s="9">
        <v>0.79166666666666663</v>
      </c>
      <c r="E22" s="9">
        <v>0.95833333333333326</v>
      </c>
      <c r="F22" s="9">
        <v>0.75</v>
      </c>
      <c r="G22" s="9">
        <v>0.75</v>
      </c>
      <c r="H22" s="9">
        <v>0</v>
      </c>
      <c r="I22" t="s">
        <v>234</v>
      </c>
      <c r="J22" t="s">
        <v>144</v>
      </c>
      <c r="K22" t="s">
        <v>325</v>
      </c>
      <c r="L22" t="s">
        <v>326</v>
      </c>
      <c r="M22" t="s">
        <v>327</v>
      </c>
      <c r="N22" t="s">
        <v>328</v>
      </c>
      <c r="O22" t="s">
        <v>329</v>
      </c>
      <c r="P22" t="s">
        <v>240</v>
      </c>
      <c r="Q22" s="9">
        <v>0.75</v>
      </c>
      <c r="R22" s="9">
        <v>0.5625</v>
      </c>
      <c r="S22" s="9">
        <v>0.33333333333333331</v>
      </c>
      <c r="T22" s="9">
        <v>0.60416666666666663</v>
      </c>
    </row>
    <row r="23" spans="1:20" x14ac:dyDescent="0.3">
      <c r="A23">
        <v>22</v>
      </c>
      <c r="B23">
        <v>7</v>
      </c>
      <c r="C23" s="8">
        <v>46190</v>
      </c>
      <c r="D23" s="9">
        <v>0.625</v>
      </c>
      <c r="E23" s="9">
        <v>0.83333333333333326</v>
      </c>
      <c r="F23" s="9">
        <v>0.625</v>
      </c>
      <c r="G23" s="9">
        <v>0.625</v>
      </c>
      <c r="H23" s="9">
        <v>0.875</v>
      </c>
      <c r="I23" t="s">
        <v>271</v>
      </c>
      <c r="J23" t="s">
        <v>91</v>
      </c>
      <c r="K23" t="s">
        <v>330</v>
      </c>
      <c r="L23" t="s">
        <v>331</v>
      </c>
      <c r="M23" t="s">
        <v>332</v>
      </c>
      <c r="N23" t="s">
        <v>333</v>
      </c>
      <c r="O23" t="s">
        <v>334</v>
      </c>
      <c r="P23" t="s">
        <v>277</v>
      </c>
      <c r="Q23" s="9">
        <v>0.45833333333333331</v>
      </c>
      <c r="R23" s="9">
        <v>0.78125</v>
      </c>
      <c r="S23" s="9">
        <v>0.625</v>
      </c>
      <c r="T23" s="9">
        <v>0.82291666666666663</v>
      </c>
    </row>
    <row r="24" spans="1:20" x14ac:dyDescent="0.3">
      <c r="A24">
        <v>23</v>
      </c>
      <c r="B24">
        <v>7</v>
      </c>
      <c r="C24" s="8">
        <v>46190</v>
      </c>
      <c r="D24" s="9">
        <v>0.5</v>
      </c>
      <c r="E24" s="9">
        <v>0.70833333333333326</v>
      </c>
      <c r="F24" s="9">
        <v>0.5</v>
      </c>
      <c r="G24" s="9">
        <v>0.5</v>
      </c>
      <c r="H24" s="9">
        <v>0.75</v>
      </c>
      <c r="I24" t="s">
        <v>271</v>
      </c>
      <c r="J24" t="s">
        <v>30</v>
      </c>
      <c r="K24" t="s">
        <v>335</v>
      </c>
      <c r="L24" t="s">
        <v>336</v>
      </c>
      <c r="M24" t="s">
        <v>337</v>
      </c>
      <c r="N24" t="s">
        <v>338</v>
      </c>
      <c r="O24" t="s">
        <v>339</v>
      </c>
      <c r="P24" t="s">
        <v>274</v>
      </c>
      <c r="Q24" s="9">
        <v>0.39583333333333331</v>
      </c>
      <c r="R24" s="9">
        <v>0.78125</v>
      </c>
      <c r="S24" s="9">
        <v>0.54166666666666663</v>
      </c>
      <c r="T24" s="9">
        <v>0.65625</v>
      </c>
    </row>
    <row r="25" spans="1:20" x14ac:dyDescent="0.3">
      <c r="A25">
        <v>24</v>
      </c>
      <c r="B25">
        <v>7</v>
      </c>
      <c r="C25" s="8">
        <v>46190</v>
      </c>
      <c r="D25" s="9">
        <v>0.83333333333333326</v>
      </c>
      <c r="E25" s="9">
        <v>8.3333333333333329E-2</v>
      </c>
      <c r="F25" s="9">
        <v>0.875</v>
      </c>
      <c r="G25" s="9">
        <v>0.875</v>
      </c>
      <c r="H25" s="9">
        <v>0.125</v>
      </c>
      <c r="I25" t="s">
        <v>221</v>
      </c>
      <c r="J25" t="s">
        <v>170</v>
      </c>
      <c r="K25" t="s">
        <v>340</v>
      </c>
      <c r="L25" t="s">
        <v>341</v>
      </c>
      <c r="M25" t="s">
        <v>342</v>
      </c>
      <c r="N25" t="s">
        <v>343</v>
      </c>
      <c r="O25" t="s">
        <v>344</v>
      </c>
      <c r="P25" t="s">
        <v>227</v>
      </c>
      <c r="Q25" s="9">
        <v>0.39583333333333331</v>
      </c>
      <c r="R25" s="9">
        <v>0.82291666666666663</v>
      </c>
      <c r="S25" s="9">
        <v>0.77083333333333326</v>
      </c>
      <c r="T25" s="9">
        <v>0.69791666666666663</v>
      </c>
    </row>
    <row r="26" spans="1:20" x14ac:dyDescent="0.3">
      <c r="A26">
        <v>25</v>
      </c>
      <c r="B26">
        <v>8</v>
      </c>
      <c r="C26" s="8">
        <v>46191</v>
      </c>
      <c r="D26" s="9">
        <v>0.5</v>
      </c>
      <c r="E26" s="9">
        <v>0.66666666666666663</v>
      </c>
      <c r="F26" s="9">
        <v>0.45833333333333331</v>
      </c>
      <c r="G26" s="9">
        <v>0.45833333333333331</v>
      </c>
      <c r="H26" s="9">
        <v>0.70833333333333326</v>
      </c>
      <c r="I26" t="s">
        <v>234</v>
      </c>
      <c r="J26" t="s">
        <v>30</v>
      </c>
      <c r="K26" t="s">
        <v>230</v>
      </c>
      <c r="L26" t="s">
        <v>231</v>
      </c>
      <c r="M26" t="s">
        <v>224</v>
      </c>
      <c r="N26" t="s">
        <v>225</v>
      </c>
      <c r="O26" t="s">
        <v>345</v>
      </c>
      <c r="P26" t="s">
        <v>292</v>
      </c>
      <c r="Q26" s="9">
        <v>0.375</v>
      </c>
      <c r="R26" s="9">
        <v>0.5625</v>
      </c>
      <c r="S26" s="9">
        <v>0.66666666666666663</v>
      </c>
      <c r="T26" s="9">
        <v>0.60416666666666663</v>
      </c>
    </row>
    <row r="27" spans="1:20" x14ac:dyDescent="0.3">
      <c r="A27">
        <v>26</v>
      </c>
      <c r="B27">
        <v>8</v>
      </c>
      <c r="C27" s="8">
        <v>46191</v>
      </c>
      <c r="D27" s="9">
        <v>0.5</v>
      </c>
      <c r="E27" s="9">
        <v>0.79166666666666663</v>
      </c>
      <c r="F27" s="9">
        <v>0.58333333333333326</v>
      </c>
      <c r="G27" s="9">
        <v>0.58333333333333326</v>
      </c>
      <c r="H27" s="9">
        <v>0.83333333333333326</v>
      </c>
      <c r="I27" t="s">
        <v>241</v>
      </c>
      <c r="J27" t="s">
        <v>91</v>
      </c>
      <c r="K27" t="s">
        <v>265</v>
      </c>
      <c r="L27" t="s">
        <v>266</v>
      </c>
      <c r="M27" t="s">
        <v>237</v>
      </c>
      <c r="N27" t="s">
        <v>238</v>
      </c>
      <c r="O27" t="s">
        <v>346</v>
      </c>
      <c r="P27" t="s">
        <v>247</v>
      </c>
      <c r="Q27" s="9">
        <v>0.53125</v>
      </c>
      <c r="R27" s="9">
        <v>0.86458333333333326</v>
      </c>
      <c r="S27" s="9">
        <v>0.45833333333333331</v>
      </c>
      <c r="T27" s="9">
        <v>0.90625</v>
      </c>
    </row>
    <row r="28" spans="1:20" x14ac:dyDescent="0.3">
      <c r="A28">
        <v>27</v>
      </c>
      <c r="B28">
        <v>8</v>
      </c>
      <c r="C28" s="8">
        <v>46191</v>
      </c>
      <c r="D28" s="9">
        <v>0.625</v>
      </c>
      <c r="E28" s="9">
        <v>0.91666666666666663</v>
      </c>
      <c r="F28" s="9">
        <v>0.70833333333333326</v>
      </c>
      <c r="G28" s="9">
        <v>0.70833333333333326</v>
      </c>
      <c r="H28" s="9">
        <v>0.95833333333333326</v>
      </c>
      <c r="I28" t="s">
        <v>241</v>
      </c>
      <c r="J28" t="s">
        <v>144</v>
      </c>
      <c r="K28" t="s">
        <v>235</v>
      </c>
      <c r="L28" t="s">
        <v>236</v>
      </c>
      <c r="M28" t="s">
        <v>263</v>
      </c>
      <c r="N28" t="s">
        <v>264</v>
      </c>
      <c r="O28" t="s">
        <v>347</v>
      </c>
      <c r="P28" t="s">
        <v>257</v>
      </c>
      <c r="Q28" s="9">
        <v>0.70833333333333326</v>
      </c>
      <c r="R28" s="9">
        <v>0.86458333333333326</v>
      </c>
      <c r="S28" s="9">
        <v>0.54166666666666663</v>
      </c>
      <c r="T28" s="9">
        <v>0.72916666666666663</v>
      </c>
    </row>
    <row r="29" spans="1:20" x14ac:dyDescent="0.3">
      <c r="A29">
        <v>28</v>
      </c>
      <c r="B29">
        <v>8</v>
      </c>
      <c r="C29" s="8">
        <v>46191</v>
      </c>
      <c r="D29" s="9">
        <v>0.79166666666666663</v>
      </c>
      <c r="E29" s="9">
        <v>4.1666666666666664E-2</v>
      </c>
      <c r="F29" s="9">
        <v>0.83333333333333326</v>
      </c>
      <c r="G29" s="9">
        <v>0.83333333333333326</v>
      </c>
      <c r="H29" s="9">
        <v>8.3333333333333329E-2</v>
      </c>
      <c r="I29" t="s">
        <v>221</v>
      </c>
      <c r="J29" t="s">
        <v>170</v>
      </c>
      <c r="K29" t="s">
        <v>222</v>
      </c>
      <c r="L29" t="s">
        <v>223</v>
      </c>
      <c r="M29" t="s">
        <v>228</v>
      </c>
      <c r="N29" t="s">
        <v>229</v>
      </c>
      <c r="O29" t="s">
        <v>348</v>
      </c>
      <c r="P29" t="s">
        <v>233</v>
      </c>
      <c r="Q29" s="9">
        <v>0.79166666666666663</v>
      </c>
      <c r="R29" s="9">
        <v>0.64583333333333326</v>
      </c>
      <c r="S29" s="9">
        <v>0.72916666666666663</v>
      </c>
      <c r="T29" s="9">
        <v>0.6875</v>
      </c>
    </row>
    <row r="30" spans="1:20" x14ac:dyDescent="0.3">
      <c r="A30">
        <v>29</v>
      </c>
      <c r="B30">
        <v>9</v>
      </c>
      <c r="C30" s="8">
        <v>46192</v>
      </c>
      <c r="D30" s="9">
        <v>0.85416666666666663</v>
      </c>
      <c r="E30" s="9">
        <v>2.0833333333333332E-2</v>
      </c>
      <c r="F30" s="9">
        <v>0.8125</v>
      </c>
      <c r="G30" s="9">
        <v>0.8125</v>
      </c>
      <c r="H30" s="9">
        <v>6.25E-2</v>
      </c>
      <c r="I30" t="s">
        <v>234</v>
      </c>
      <c r="J30" t="s">
        <v>144</v>
      </c>
      <c r="K30" t="s">
        <v>258</v>
      </c>
      <c r="L30" t="s">
        <v>259</v>
      </c>
      <c r="M30" t="s">
        <v>248</v>
      </c>
      <c r="N30" t="s">
        <v>249</v>
      </c>
      <c r="O30" t="s">
        <v>349</v>
      </c>
      <c r="P30" t="s">
        <v>270</v>
      </c>
      <c r="Q30" s="9">
        <v>0.375</v>
      </c>
      <c r="R30" s="9">
        <v>0.73958333333333326</v>
      </c>
      <c r="S30" s="9">
        <v>0.6875</v>
      </c>
      <c r="T30" s="9">
        <v>0.78125</v>
      </c>
    </row>
    <row r="31" spans="1:20" x14ac:dyDescent="0.3">
      <c r="A31">
        <v>30</v>
      </c>
      <c r="B31">
        <v>9</v>
      </c>
      <c r="C31" s="8">
        <v>46192</v>
      </c>
      <c r="D31" s="9">
        <v>0.75</v>
      </c>
      <c r="E31" s="9">
        <v>0.91666666666666663</v>
      </c>
      <c r="F31" s="9">
        <v>0.70833333333333326</v>
      </c>
      <c r="G31" s="9">
        <v>0.70833333333333326</v>
      </c>
      <c r="H31" s="9">
        <v>0.95833333333333326</v>
      </c>
      <c r="I31" t="s">
        <v>234</v>
      </c>
      <c r="J31" t="s">
        <v>91</v>
      </c>
      <c r="K31" t="s">
        <v>250</v>
      </c>
      <c r="L31" t="s">
        <v>251</v>
      </c>
      <c r="M31" t="s">
        <v>260</v>
      </c>
      <c r="N31" t="s">
        <v>261</v>
      </c>
      <c r="O31" t="s">
        <v>350</v>
      </c>
      <c r="P31" t="s">
        <v>252</v>
      </c>
      <c r="Q31" s="9">
        <v>0.375</v>
      </c>
      <c r="R31" s="9">
        <v>0.4375</v>
      </c>
      <c r="S31" s="9">
        <v>0.70833333333333326</v>
      </c>
      <c r="T31" s="9">
        <v>0.67708333333333326</v>
      </c>
    </row>
    <row r="32" spans="1:20" x14ac:dyDescent="0.3">
      <c r="A32">
        <v>31</v>
      </c>
      <c r="B32">
        <v>9</v>
      </c>
      <c r="C32" s="8">
        <v>46192</v>
      </c>
      <c r="D32" s="9">
        <v>0.83333333333333326</v>
      </c>
      <c r="E32" s="9">
        <v>0.125</v>
      </c>
      <c r="F32" s="9">
        <v>0.91666666666666663</v>
      </c>
      <c r="G32" s="9">
        <v>0.91666666666666663</v>
      </c>
      <c r="H32" s="9">
        <v>0.16666666666666666</v>
      </c>
      <c r="I32" t="s">
        <v>241</v>
      </c>
      <c r="J32" t="s">
        <v>170</v>
      </c>
      <c r="K32" t="s">
        <v>255</v>
      </c>
      <c r="L32" t="s">
        <v>256</v>
      </c>
      <c r="M32" t="s">
        <v>244</v>
      </c>
      <c r="N32" t="s">
        <v>245</v>
      </c>
      <c r="O32" t="s">
        <v>351</v>
      </c>
      <c r="P32" t="s">
        <v>267</v>
      </c>
      <c r="Q32" s="9">
        <v>0.82291666666666663</v>
      </c>
      <c r="R32" s="9">
        <v>0.6875</v>
      </c>
      <c r="S32" s="9">
        <v>0.85416666666666663</v>
      </c>
      <c r="T32" s="9">
        <v>0.72916666666666663</v>
      </c>
    </row>
    <row r="33" spans="1:20" x14ac:dyDescent="0.3">
      <c r="A33">
        <v>32</v>
      </c>
      <c r="B33">
        <v>9</v>
      </c>
      <c r="C33" s="8">
        <v>46192</v>
      </c>
      <c r="D33" s="9">
        <v>0.5</v>
      </c>
      <c r="E33" s="9">
        <v>0.79166666666666663</v>
      </c>
      <c r="F33" s="9">
        <v>0.58333333333333326</v>
      </c>
      <c r="G33" s="9">
        <v>0.58333333333333326</v>
      </c>
      <c r="H33" s="9">
        <v>0.83333333333333326</v>
      </c>
      <c r="I33" t="s">
        <v>241</v>
      </c>
      <c r="J33" t="s">
        <v>30</v>
      </c>
      <c r="K33" t="s">
        <v>242</v>
      </c>
      <c r="L33" t="s">
        <v>243</v>
      </c>
      <c r="M33" t="s">
        <v>253</v>
      </c>
      <c r="N33" t="s">
        <v>254</v>
      </c>
      <c r="O33" t="s">
        <v>352</v>
      </c>
      <c r="P33" t="s">
        <v>303</v>
      </c>
      <c r="Q33" s="9">
        <v>0.54166666666666663</v>
      </c>
      <c r="R33" s="9">
        <v>0.73958333333333326</v>
      </c>
      <c r="S33" s="9">
        <v>0.58333333333333326</v>
      </c>
      <c r="T33" s="9">
        <v>0.86458333333333326</v>
      </c>
    </row>
    <row r="34" spans="1:20" x14ac:dyDescent="0.3">
      <c r="A34">
        <v>33</v>
      </c>
      <c r="B34">
        <v>10</v>
      </c>
      <c r="C34" s="8">
        <v>46193</v>
      </c>
      <c r="D34" s="9">
        <v>0.66666666666666663</v>
      </c>
      <c r="E34" s="9">
        <v>0.83333333333333326</v>
      </c>
      <c r="F34" s="9">
        <v>0.625</v>
      </c>
      <c r="G34" s="9">
        <v>0.625</v>
      </c>
      <c r="H34" s="9">
        <v>0.875</v>
      </c>
      <c r="I34" t="s">
        <v>234</v>
      </c>
      <c r="J34" t="s">
        <v>91</v>
      </c>
      <c r="K34" t="s">
        <v>272</v>
      </c>
      <c r="L34" t="s">
        <v>24</v>
      </c>
      <c r="M34" t="s">
        <v>268</v>
      </c>
      <c r="N34" t="s">
        <v>137</v>
      </c>
      <c r="O34" t="s">
        <v>353</v>
      </c>
      <c r="P34" t="s">
        <v>240</v>
      </c>
      <c r="Q34" s="9">
        <v>0.41666666666666663</v>
      </c>
      <c r="R34" s="9">
        <v>0.73958333333333326</v>
      </c>
      <c r="S34" s="9">
        <v>0.66666666666666663</v>
      </c>
      <c r="T34" s="9">
        <v>0.61458333333333326</v>
      </c>
    </row>
    <row r="35" spans="1:20" x14ac:dyDescent="0.3">
      <c r="A35">
        <v>34</v>
      </c>
      <c r="B35">
        <v>10</v>
      </c>
      <c r="C35" s="8">
        <v>46193</v>
      </c>
      <c r="D35" s="9">
        <v>0.79166666666666663</v>
      </c>
      <c r="E35" s="9">
        <v>0</v>
      </c>
      <c r="F35" s="9">
        <v>0.79166666666666663</v>
      </c>
      <c r="G35" s="9">
        <v>0.79166666666666663</v>
      </c>
      <c r="H35" s="9">
        <v>4.1666666666666664E-2</v>
      </c>
      <c r="I35" t="s">
        <v>271</v>
      </c>
      <c r="J35" t="s">
        <v>144</v>
      </c>
      <c r="K35" t="s">
        <v>269</v>
      </c>
      <c r="L35" t="s">
        <v>17</v>
      </c>
      <c r="M35" t="s">
        <v>273</v>
      </c>
      <c r="N35" t="s">
        <v>26</v>
      </c>
      <c r="O35" t="s">
        <v>354</v>
      </c>
      <c r="P35" t="s">
        <v>319</v>
      </c>
      <c r="Q35" s="9">
        <v>0.33333333333333331</v>
      </c>
      <c r="R35" s="9">
        <v>0.78125</v>
      </c>
      <c r="S35" s="9">
        <v>0.375</v>
      </c>
      <c r="T35" s="9">
        <v>0.82291666666666663</v>
      </c>
    </row>
    <row r="36" spans="1:20" x14ac:dyDescent="0.3">
      <c r="A36">
        <v>35</v>
      </c>
      <c r="B36">
        <v>10</v>
      </c>
      <c r="C36" s="8">
        <v>46193</v>
      </c>
      <c r="D36" s="9">
        <v>0.5</v>
      </c>
      <c r="E36" s="9">
        <v>0.70833333333333326</v>
      </c>
      <c r="F36" s="9">
        <v>0.5</v>
      </c>
      <c r="G36" s="9">
        <v>0.5</v>
      </c>
      <c r="H36" s="9">
        <v>0.75</v>
      </c>
      <c r="I36" t="s">
        <v>271</v>
      </c>
      <c r="J36" t="s">
        <v>30</v>
      </c>
      <c r="K36" t="s">
        <v>275</v>
      </c>
      <c r="L36" t="s">
        <v>33</v>
      </c>
      <c r="M36" t="s">
        <v>278</v>
      </c>
      <c r="N36" t="s">
        <v>141</v>
      </c>
      <c r="O36" t="s">
        <v>355</v>
      </c>
      <c r="P36" t="s">
        <v>274</v>
      </c>
      <c r="Q36" s="9">
        <v>0.4375</v>
      </c>
      <c r="R36" s="9">
        <v>0.78125</v>
      </c>
      <c r="S36" s="9">
        <v>0.39583333333333331</v>
      </c>
      <c r="T36" s="9">
        <v>0.65625</v>
      </c>
    </row>
    <row r="37" spans="1:20" x14ac:dyDescent="0.3">
      <c r="A37">
        <v>36</v>
      </c>
      <c r="B37">
        <v>10</v>
      </c>
      <c r="C37" s="8">
        <v>46193</v>
      </c>
      <c r="D37" s="9">
        <v>0.91666666666666663</v>
      </c>
      <c r="E37" s="9">
        <v>0.16666666666666666</v>
      </c>
      <c r="F37" s="9">
        <v>0.95833333333333326</v>
      </c>
      <c r="G37" s="9">
        <v>0.95833333333333326</v>
      </c>
      <c r="H37" s="9">
        <v>0.20833333333333331</v>
      </c>
      <c r="I37" t="s">
        <v>221</v>
      </c>
      <c r="J37" t="s">
        <v>170</v>
      </c>
      <c r="K37" t="s">
        <v>279</v>
      </c>
      <c r="L37" t="s">
        <v>168</v>
      </c>
      <c r="M37" t="s">
        <v>276</v>
      </c>
      <c r="N37" t="s">
        <v>29</v>
      </c>
      <c r="O37" t="s">
        <v>356</v>
      </c>
      <c r="P37" t="s">
        <v>280</v>
      </c>
      <c r="Q37" s="9">
        <v>0.95833333333333326</v>
      </c>
      <c r="R37" s="9">
        <v>0.64583333333333326</v>
      </c>
      <c r="S37" s="9">
        <v>0.79166666666666663</v>
      </c>
      <c r="T37" s="9">
        <v>0.6875</v>
      </c>
    </row>
    <row r="38" spans="1:20" x14ac:dyDescent="0.3">
      <c r="A38">
        <v>37</v>
      </c>
      <c r="B38">
        <v>11</v>
      </c>
      <c r="C38" s="8">
        <v>46194</v>
      </c>
      <c r="D38" s="9">
        <v>0.75</v>
      </c>
      <c r="E38" s="9">
        <v>0.91666666666666663</v>
      </c>
      <c r="F38" s="9">
        <v>0.70833333333333326</v>
      </c>
      <c r="G38" s="9">
        <v>0.70833333333333326</v>
      </c>
      <c r="H38" s="9">
        <v>0.95833333333333326</v>
      </c>
      <c r="I38" t="s">
        <v>234</v>
      </c>
      <c r="J38" t="s">
        <v>144</v>
      </c>
      <c r="K38" t="s">
        <v>283</v>
      </c>
      <c r="L38" t="s">
        <v>284</v>
      </c>
      <c r="M38" t="s">
        <v>289</v>
      </c>
      <c r="N38" t="s">
        <v>290</v>
      </c>
      <c r="O38" t="s">
        <v>357</v>
      </c>
      <c r="P38" t="s">
        <v>286</v>
      </c>
      <c r="Q38" s="9">
        <v>0.375</v>
      </c>
      <c r="R38" s="9">
        <v>0.73958333333333326</v>
      </c>
      <c r="S38" s="9">
        <v>0.33333333333333331</v>
      </c>
      <c r="T38" s="9">
        <v>0.78125</v>
      </c>
    </row>
    <row r="39" spans="1:20" x14ac:dyDescent="0.3">
      <c r="A39">
        <v>38</v>
      </c>
      <c r="B39">
        <v>11</v>
      </c>
      <c r="C39" s="8">
        <v>46194</v>
      </c>
      <c r="D39" s="9">
        <v>0.5</v>
      </c>
      <c r="E39" s="9">
        <v>0.66666666666666663</v>
      </c>
      <c r="F39" s="9">
        <v>0.45833333333333331</v>
      </c>
      <c r="G39" s="9">
        <v>0.45833333333333331</v>
      </c>
      <c r="H39" s="9">
        <v>0.70833333333333326</v>
      </c>
      <c r="I39" t="s">
        <v>234</v>
      </c>
      <c r="J39" t="s">
        <v>30</v>
      </c>
      <c r="K39" t="s">
        <v>287</v>
      </c>
      <c r="L39" t="s">
        <v>288</v>
      </c>
      <c r="M39" t="s">
        <v>281</v>
      </c>
      <c r="N39" t="s">
        <v>282</v>
      </c>
      <c r="O39" t="s">
        <v>358</v>
      </c>
      <c r="P39" t="s">
        <v>292</v>
      </c>
      <c r="Q39" s="9">
        <v>0.41666666666666663</v>
      </c>
      <c r="R39" s="9">
        <v>0.5625</v>
      </c>
      <c r="S39" s="9">
        <v>0.70833333333333326</v>
      </c>
      <c r="T39" s="9">
        <v>0.60416666666666663</v>
      </c>
    </row>
    <row r="40" spans="1:20" x14ac:dyDescent="0.3">
      <c r="A40">
        <v>39</v>
      </c>
      <c r="B40">
        <v>11</v>
      </c>
      <c r="C40" s="8">
        <v>46194</v>
      </c>
      <c r="D40" s="9">
        <v>0.5</v>
      </c>
      <c r="E40" s="9">
        <v>0.79166666666666663</v>
      </c>
      <c r="F40" s="9">
        <v>0.58333333333333326</v>
      </c>
      <c r="G40" s="9">
        <v>0.58333333333333326</v>
      </c>
      <c r="H40" s="9">
        <v>0.83333333333333326</v>
      </c>
      <c r="I40" t="s">
        <v>241</v>
      </c>
      <c r="J40" t="s">
        <v>91</v>
      </c>
      <c r="K40" t="s">
        <v>298</v>
      </c>
      <c r="L40" t="s">
        <v>299</v>
      </c>
      <c r="M40" t="s">
        <v>293</v>
      </c>
      <c r="N40" t="s">
        <v>294</v>
      </c>
      <c r="O40" t="s">
        <v>359</v>
      </c>
      <c r="P40" t="s">
        <v>247</v>
      </c>
      <c r="Q40" s="9">
        <v>0.54166666666666663</v>
      </c>
      <c r="R40" s="9">
        <v>0.6875</v>
      </c>
      <c r="S40" s="9">
        <v>0.77083333333333326</v>
      </c>
      <c r="T40" s="9">
        <v>0.86458333333333326</v>
      </c>
    </row>
    <row r="41" spans="1:20" x14ac:dyDescent="0.3">
      <c r="A41">
        <v>40</v>
      </c>
      <c r="B41">
        <v>11</v>
      </c>
      <c r="C41" s="8">
        <v>46194</v>
      </c>
      <c r="D41" s="9">
        <v>0.75</v>
      </c>
      <c r="E41" s="9">
        <v>4.1666666666666664E-2</v>
      </c>
      <c r="F41" s="9">
        <v>0.83333333333333326</v>
      </c>
      <c r="G41" s="9">
        <v>0.83333333333333326</v>
      </c>
      <c r="H41" s="9">
        <v>8.3333333333333329E-2</v>
      </c>
      <c r="I41" t="s">
        <v>241</v>
      </c>
      <c r="J41" t="s">
        <v>170</v>
      </c>
      <c r="K41" t="s">
        <v>295</v>
      </c>
      <c r="L41" t="s">
        <v>296</v>
      </c>
      <c r="M41" t="s">
        <v>300</v>
      </c>
      <c r="N41" t="s">
        <v>301</v>
      </c>
      <c r="O41" t="s">
        <v>360</v>
      </c>
      <c r="P41" t="s">
        <v>257</v>
      </c>
      <c r="Q41" s="9">
        <v>0.53125</v>
      </c>
      <c r="R41" s="9">
        <v>0.6875</v>
      </c>
      <c r="S41" s="9">
        <v>0.83333333333333326</v>
      </c>
      <c r="T41" s="9">
        <v>0.72916666666666663</v>
      </c>
    </row>
    <row r="42" spans="1:20" x14ac:dyDescent="0.3">
      <c r="A42">
        <v>41</v>
      </c>
      <c r="B42">
        <v>12</v>
      </c>
      <c r="C42" s="8">
        <v>46195</v>
      </c>
      <c r="D42" s="9">
        <v>0.83333333333333326</v>
      </c>
      <c r="E42" s="9">
        <v>0</v>
      </c>
      <c r="F42" s="9">
        <v>0.79166666666666663</v>
      </c>
      <c r="G42" s="9">
        <v>0.79166666666666663</v>
      </c>
      <c r="H42" s="9">
        <v>4.1666666666666664E-2</v>
      </c>
      <c r="I42" t="s">
        <v>234</v>
      </c>
      <c r="J42" t="s">
        <v>144</v>
      </c>
      <c r="K42" t="s">
        <v>311</v>
      </c>
      <c r="L42" t="s">
        <v>312</v>
      </c>
      <c r="M42" t="s">
        <v>306</v>
      </c>
      <c r="N42" t="s">
        <v>307</v>
      </c>
      <c r="O42" t="s">
        <v>361</v>
      </c>
      <c r="P42" t="s">
        <v>262</v>
      </c>
      <c r="Q42" s="9">
        <v>0.375</v>
      </c>
      <c r="R42" s="9">
        <v>0.73958333333333326</v>
      </c>
      <c r="S42" s="9">
        <v>0.625</v>
      </c>
      <c r="T42" s="9">
        <v>0.5625</v>
      </c>
    </row>
    <row r="43" spans="1:20" x14ac:dyDescent="0.3">
      <c r="A43">
        <v>42</v>
      </c>
      <c r="B43">
        <v>12</v>
      </c>
      <c r="C43" s="8">
        <v>46195</v>
      </c>
      <c r="D43" s="9">
        <v>0.70833333333333326</v>
      </c>
      <c r="E43" s="9">
        <v>0.875</v>
      </c>
      <c r="F43" s="9">
        <v>0.66666666666666663</v>
      </c>
      <c r="G43" s="9">
        <v>0.66666666666666663</v>
      </c>
      <c r="H43" s="9">
        <v>0.91666666666666663</v>
      </c>
      <c r="I43" t="s">
        <v>234</v>
      </c>
      <c r="J43" t="s">
        <v>91</v>
      </c>
      <c r="K43" t="s">
        <v>304</v>
      </c>
      <c r="L43" t="s">
        <v>305</v>
      </c>
      <c r="M43" t="s">
        <v>309</v>
      </c>
      <c r="N43" t="s">
        <v>310</v>
      </c>
      <c r="O43" t="s">
        <v>362</v>
      </c>
      <c r="P43" t="s">
        <v>270</v>
      </c>
      <c r="Q43" s="9">
        <v>0.66666666666666663</v>
      </c>
      <c r="R43" s="9">
        <v>0.60416666666666663</v>
      </c>
      <c r="S43" s="9">
        <v>0.8125</v>
      </c>
      <c r="T43" s="9">
        <v>0.5625</v>
      </c>
    </row>
    <row r="44" spans="1:20" x14ac:dyDescent="0.3">
      <c r="A44">
        <v>43</v>
      </c>
      <c r="B44">
        <v>12</v>
      </c>
      <c r="C44" s="8">
        <v>46195</v>
      </c>
      <c r="D44" s="9">
        <v>0.5</v>
      </c>
      <c r="E44" s="9">
        <v>0.70833333333333326</v>
      </c>
      <c r="F44" s="9">
        <v>0.5</v>
      </c>
      <c r="G44" s="9">
        <v>0.5</v>
      </c>
      <c r="H44" s="9">
        <v>0.75</v>
      </c>
      <c r="I44" t="s">
        <v>271</v>
      </c>
      <c r="J44" t="s">
        <v>30</v>
      </c>
      <c r="K44" t="s">
        <v>314</v>
      </c>
      <c r="L44" t="s">
        <v>315</v>
      </c>
      <c r="M44" t="s">
        <v>320</v>
      </c>
      <c r="N44" t="s">
        <v>321</v>
      </c>
      <c r="O44" t="s">
        <v>363</v>
      </c>
      <c r="P44" t="s">
        <v>277</v>
      </c>
      <c r="Q44" s="9">
        <v>0.41666666666666663</v>
      </c>
      <c r="R44" s="9">
        <v>0.78125</v>
      </c>
      <c r="S44" s="9">
        <v>0.45833333333333331</v>
      </c>
      <c r="T44" s="9">
        <v>0.65625</v>
      </c>
    </row>
    <row r="45" spans="1:20" x14ac:dyDescent="0.3">
      <c r="A45">
        <v>44</v>
      </c>
      <c r="B45">
        <v>12</v>
      </c>
      <c r="C45" s="8">
        <v>46195</v>
      </c>
      <c r="D45" s="9">
        <v>0.83333333333333326</v>
      </c>
      <c r="E45" s="9">
        <v>0.125</v>
      </c>
      <c r="F45" s="9">
        <v>0.91666666666666663</v>
      </c>
      <c r="G45" s="9">
        <v>0.91666666666666663</v>
      </c>
      <c r="H45" s="9">
        <v>0.16666666666666666</v>
      </c>
      <c r="I45" t="s">
        <v>241</v>
      </c>
      <c r="J45" t="s">
        <v>170</v>
      </c>
      <c r="K45" t="s">
        <v>322</v>
      </c>
      <c r="L45" t="s">
        <v>323</v>
      </c>
      <c r="M45" t="s">
        <v>316</v>
      </c>
      <c r="N45" t="s">
        <v>317</v>
      </c>
      <c r="O45" t="s">
        <v>364</v>
      </c>
      <c r="P45" t="s">
        <v>267</v>
      </c>
      <c r="Q45" s="9">
        <v>0.91666666666666663</v>
      </c>
      <c r="R45" s="9">
        <v>0.6875</v>
      </c>
      <c r="S45" s="9">
        <v>0.79166666666666663</v>
      </c>
      <c r="T45" s="9">
        <v>0.72916666666666663</v>
      </c>
    </row>
    <row r="46" spans="1:20" x14ac:dyDescent="0.3">
      <c r="A46">
        <v>45</v>
      </c>
      <c r="B46">
        <v>13</v>
      </c>
      <c r="C46" s="8">
        <v>46196</v>
      </c>
      <c r="D46" s="9">
        <v>0.66666666666666663</v>
      </c>
      <c r="E46" s="9">
        <v>0.83333333333333326</v>
      </c>
      <c r="F46" s="9">
        <v>0.625</v>
      </c>
      <c r="G46" s="9">
        <v>0.625</v>
      </c>
      <c r="H46" s="9">
        <v>0.875</v>
      </c>
      <c r="I46" t="s">
        <v>234</v>
      </c>
      <c r="J46" t="s">
        <v>91</v>
      </c>
      <c r="K46" t="s">
        <v>330</v>
      </c>
      <c r="L46" t="s">
        <v>331</v>
      </c>
      <c r="M46" t="s">
        <v>325</v>
      </c>
      <c r="N46" t="s">
        <v>326</v>
      </c>
      <c r="O46" t="s">
        <v>365</v>
      </c>
      <c r="P46" t="s">
        <v>252</v>
      </c>
      <c r="Q46" s="9">
        <v>0.42708333333333331</v>
      </c>
      <c r="R46" s="9">
        <v>0.73958333333333326</v>
      </c>
      <c r="S46" s="9">
        <v>0.625</v>
      </c>
      <c r="T46" s="9">
        <v>0.78125</v>
      </c>
    </row>
    <row r="47" spans="1:20" x14ac:dyDescent="0.3">
      <c r="A47">
        <v>46</v>
      </c>
      <c r="B47">
        <v>13</v>
      </c>
      <c r="C47" s="8">
        <v>46196</v>
      </c>
      <c r="D47" s="9">
        <v>0.79166666666666663</v>
      </c>
      <c r="E47" s="9">
        <v>0.95833333333333326</v>
      </c>
      <c r="F47" s="9">
        <v>0.75</v>
      </c>
      <c r="G47" s="9">
        <v>0.75</v>
      </c>
      <c r="H47" s="9">
        <v>0</v>
      </c>
      <c r="I47" t="s">
        <v>234</v>
      </c>
      <c r="J47" t="s">
        <v>144</v>
      </c>
      <c r="K47" t="s">
        <v>327</v>
      </c>
      <c r="L47" t="s">
        <v>328</v>
      </c>
      <c r="M47" t="s">
        <v>332</v>
      </c>
      <c r="N47" t="s">
        <v>333</v>
      </c>
      <c r="O47" t="s">
        <v>366</v>
      </c>
      <c r="P47" t="s">
        <v>240</v>
      </c>
      <c r="Q47" s="9">
        <v>0.3125</v>
      </c>
      <c r="R47" s="9">
        <v>0.5625</v>
      </c>
      <c r="S47" s="9">
        <v>0.75</v>
      </c>
      <c r="T47" s="9">
        <v>0.59375</v>
      </c>
    </row>
    <row r="48" spans="1:20" x14ac:dyDescent="0.3">
      <c r="A48">
        <v>47</v>
      </c>
      <c r="B48">
        <v>13</v>
      </c>
      <c r="C48" s="8">
        <v>46196</v>
      </c>
      <c r="D48" s="9">
        <v>0.5</v>
      </c>
      <c r="E48" s="9">
        <v>0.70833333333333326</v>
      </c>
      <c r="F48" s="9">
        <v>0.5</v>
      </c>
      <c r="G48" s="9">
        <v>0.5</v>
      </c>
      <c r="H48" s="9">
        <v>0.75</v>
      </c>
      <c r="I48" t="s">
        <v>271</v>
      </c>
      <c r="J48" t="s">
        <v>30</v>
      </c>
      <c r="K48" t="s">
        <v>335</v>
      </c>
      <c r="L48" t="s">
        <v>336</v>
      </c>
      <c r="M48" t="s">
        <v>340</v>
      </c>
      <c r="N48" t="s">
        <v>341</v>
      </c>
      <c r="O48" t="s">
        <v>367</v>
      </c>
      <c r="P48" t="s">
        <v>274</v>
      </c>
      <c r="Q48" s="9">
        <v>0.39583333333333331</v>
      </c>
      <c r="R48" s="9">
        <v>0.78125</v>
      </c>
      <c r="S48" s="9">
        <v>0.39583333333333331</v>
      </c>
      <c r="T48" s="9">
        <v>0.82291666666666663</v>
      </c>
    </row>
    <row r="49" spans="1:20" x14ac:dyDescent="0.3">
      <c r="A49">
        <v>48</v>
      </c>
      <c r="B49">
        <v>13</v>
      </c>
      <c r="C49" s="8">
        <v>46196</v>
      </c>
      <c r="D49" s="9">
        <v>0.83333333333333326</v>
      </c>
      <c r="E49" s="9">
        <v>8.3333333333333329E-2</v>
      </c>
      <c r="F49" s="9">
        <v>0.875</v>
      </c>
      <c r="G49" s="9">
        <v>0.875</v>
      </c>
      <c r="H49" s="9">
        <v>0.125</v>
      </c>
      <c r="I49" t="s">
        <v>221</v>
      </c>
      <c r="J49" t="s">
        <v>170</v>
      </c>
      <c r="K49" t="s">
        <v>342</v>
      </c>
      <c r="L49" t="s">
        <v>343</v>
      </c>
      <c r="M49" t="s">
        <v>337</v>
      </c>
      <c r="N49" t="s">
        <v>338</v>
      </c>
      <c r="O49" t="s">
        <v>368</v>
      </c>
      <c r="P49" t="s">
        <v>233</v>
      </c>
      <c r="Q49" s="9">
        <v>0.75</v>
      </c>
      <c r="R49" s="9">
        <v>0.69791666666666663</v>
      </c>
      <c r="S49" s="9">
        <v>0.41666666666666663</v>
      </c>
      <c r="T49" s="9">
        <v>0.82291666666666663</v>
      </c>
    </row>
    <row r="50" spans="1:20" x14ac:dyDescent="0.3">
      <c r="A50">
        <v>49</v>
      </c>
      <c r="B50">
        <v>14</v>
      </c>
      <c r="C50" s="8">
        <v>46197</v>
      </c>
      <c r="D50" s="9">
        <v>0.75</v>
      </c>
      <c r="E50" s="9">
        <v>0.91666666666666663</v>
      </c>
      <c r="F50" s="9">
        <v>0.70833333333333326</v>
      </c>
      <c r="G50" s="9">
        <v>0.70833333333333326</v>
      </c>
      <c r="H50" s="9">
        <v>0.95833333333333326</v>
      </c>
      <c r="I50" t="s">
        <v>234</v>
      </c>
      <c r="J50" t="s">
        <v>144</v>
      </c>
      <c r="K50" t="s">
        <v>250</v>
      </c>
      <c r="L50" t="s">
        <v>251</v>
      </c>
      <c r="M50" t="s">
        <v>258</v>
      </c>
      <c r="N50" t="s">
        <v>259</v>
      </c>
      <c r="O50" t="s">
        <v>369</v>
      </c>
      <c r="P50" t="s">
        <v>286</v>
      </c>
      <c r="Q50" s="9">
        <v>0.375</v>
      </c>
      <c r="R50" s="9">
        <v>0.5625</v>
      </c>
      <c r="S50" s="9">
        <v>0.375</v>
      </c>
      <c r="T50" s="9">
        <v>0.73958333333333326</v>
      </c>
    </row>
    <row r="51" spans="1:20" x14ac:dyDescent="0.3">
      <c r="A51">
        <v>50</v>
      </c>
      <c r="B51">
        <v>14</v>
      </c>
      <c r="C51" s="8">
        <v>46197</v>
      </c>
      <c r="D51" s="9">
        <v>0.75</v>
      </c>
      <c r="E51" s="9">
        <v>0.91666666666666663</v>
      </c>
      <c r="F51" s="9">
        <v>0.70833333333333326</v>
      </c>
      <c r="G51" s="9">
        <v>0.70833333333333326</v>
      </c>
      <c r="H51" s="9">
        <v>0.95833333333333326</v>
      </c>
      <c r="I51" t="s">
        <v>234</v>
      </c>
      <c r="J51" t="s">
        <v>170</v>
      </c>
      <c r="K51" t="s">
        <v>260</v>
      </c>
      <c r="L51" t="s">
        <v>261</v>
      </c>
      <c r="M51" t="s">
        <v>248</v>
      </c>
      <c r="N51" t="s">
        <v>249</v>
      </c>
      <c r="O51" t="s">
        <v>370</v>
      </c>
      <c r="P51" t="s">
        <v>292</v>
      </c>
      <c r="Q51" s="9">
        <v>0.70833333333333326</v>
      </c>
      <c r="R51" s="9">
        <v>0.5625</v>
      </c>
      <c r="S51" s="9">
        <v>0.41666666666666663</v>
      </c>
      <c r="T51" s="9">
        <v>0.61458333333333326</v>
      </c>
    </row>
    <row r="52" spans="1:20" x14ac:dyDescent="0.3">
      <c r="A52">
        <v>51</v>
      </c>
      <c r="B52">
        <v>14</v>
      </c>
      <c r="C52" s="8">
        <v>46197</v>
      </c>
      <c r="D52" s="9">
        <v>0.5</v>
      </c>
      <c r="E52" s="9">
        <v>0.79166666666666663</v>
      </c>
      <c r="F52" s="9">
        <v>0.58333333333333326</v>
      </c>
      <c r="G52" s="9">
        <v>0.58333333333333326</v>
      </c>
      <c r="H52" s="9">
        <v>0.83333333333333326</v>
      </c>
      <c r="I52" t="s">
        <v>241</v>
      </c>
      <c r="J52" t="s">
        <v>30</v>
      </c>
      <c r="K52" t="s">
        <v>265</v>
      </c>
      <c r="L52" t="s">
        <v>266</v>
      </c>
      <c r="M52" t="s">
        <v>235</v>
      </c>
      <c r="N52" t="s">
        <v>236</v>
      </c>
      <c r="O52" t="s">
        <v>371</v>
      </c>
      <c r="P52" t="s">
        <v>257</v>
      </c>
      <c r="Q52" s="9">
        <v>0.54166666666666663</v>
      </c>
      <c r="R52" s="9">
        <v>0.6875</v>
      </c>
      <c r="S52" s="9">
        <v>0.5</v>
      </c>
      <c r="T52" s="9">
        <v>0.72916666666666663</v>
      </c>
    </row>
    <row r="53" spans="1:20" x14ac:dyDescent="0.3">
      <c r="A53">
        <v>52</v>
      </c>
      <c r="B53">
        <v>14</v>
      </c>
      <c r="C53" s="8">
        <v>46197</v>
      </c>
      <c r="D53" s="9">
        <v>0.5</v>
      </c>
      <c r="E53" s="9">
        <v>0.79166666666666663</v>
      </c>
      <c r="F53" s="9">
        <v>0.58333333333333326</v>
      </c>
      <c r="G53" s="9">
        <v>0.58333333333333326</v>
      </c>
      <c r="H53" s="9">
        <v>0.83333333333333326</v>
      </c>
      <c r="I53" t="s">
        <v>241</v>
      </c>
      <c r="J53" t="s">
        <v>91</v>
      </c>
      <c r="K53" t="s">
        <v>237</v>
      </c>
      <c r="L53" t="s">
        <v>238</v>
      </c>
      <c r="M53" t="s">
        <v>263</v>
      </c>
      <c r="N53" t="s">
        <v>264</v>
      </c>
      <c r="O53" t="s">
        <v>372</v>
      </c>
      <c r="P53" t="s">
        <v>303</v>
      </c>
      <c r="Q53" s="9">
        <v>0.45833333333333331</v>
      </c>
      <c r="R53" s="9">
        <v>0.86458333333333326</v>
      </c>
      <c r="S53" s="9">
        <v>0.54166666666666663</v>
      </c>
      <c r="T53" s="9">
        <v>0.72916666666666663</v>
      </c>
    </row>
    <row r="54" spans="1:20" x14ac:dyDescent="0.3">
      <c r="A54">
        <v>53</v>
      </c>
      <c r="B54">
        <v>14</v>
      </c>
      <c r="C54" s="8">
        <v>46197</v>
      </c>
      <c r="D54" s="9">
        <v>0.79166666666666663</v>
      </c>
      <c r="E54" s="9">
        <v>4.1666666666666664E-2</v>
      </c>
      <c r="F54" s="9">
        <v>0.83333333333333326</v>
      </c>
      <c r="G54" s="9">
        <v>0.83333333333333326</v>
      </c>
      <c r="H54" s="9">
        <v>8.3333333333333329E-2</v>
      </c>
      <c r="I54" t="s">
        <v>221</v>
      </c>
      <c r="J54" t="s">
        <v>200</v>
      </c>
      <c r="K54" t="s">
        <v>230</v>
      </c>
      <c r="L54" t="s">
        <v>231</v>
      </c>
      <c r="M54" t="s">
        <v>222</v>
      </c>
      <c r="N54" t="s">
        <v>223</v>
      </c>
      <c r="O54" t="s">
        <v>373</v>
      </c>
      <c r="P54" t="s">
        <v>227</v>
      </c>
      <c r="Q54" s="9">
        <v>0.75</v>
      </c>
      <c r="R54" s="9">
        <v>0.64583333333333326</v>
      </c>
      <c r="S54" s="9">
        <v>0.8125</v>
      </c>
      <c r="T54" s="9">
        <v>0.6875</v>
      </c>
    </row>
    <row r="55" spans="1:20" x14ac:dyDescent="0.3">
      <c r="A55">
        <v>54</v>
      </c>
      <c r="B55">
        <v>14</v>
      </c>
      <c r="C55" s="8">
        <v>46197</v>
      </c>
      <c r="D55" s="9">
        <v>0.79166666666666663</v>
      </c>
      <c r="E55" s="9">
        <v>4.1666666666666664E-2</v>
      </c>
      <c r="F55" s="9">
        <v>0.83333333333333326</v>
      </c>
      <c r="G55" s="9">
        <v>0.83333333333333326</v>
      </c>
      <c r="H55" s="9">
        <v>8.3333333333333329E-2</v>
      </c>
      <c r="I55" t="s">
        <v>221</v>
      </c>
      <c r="J55" t="s">
        <v>176</v>
      </c>
      <c r="K55" t="s">
        <v>224</v>
      </c>
      <c r="L55" t="s">
        <v>225</v>
      </c>
      <c r="M55" t="s">
        <v>228</v>
      </c>
      <c r="N55" t="s">
        <v>229</v>
      </c>
      <c r="O55" t="s">
        <v>374</v>
      </c>
      <c r="P55" t="s">
        <v>280</v>
      </c>
      <c r="Q55" s="9">
        <v>0.75</v>
      </c>
      <c r="R55" s="9">
        <v>0.64583333333333326</v>
      </c>
      <c r="S55" s="9">
        <v>0.89583333333333326</v>
      </c>
      <c r="T55" s="9">
        <v>0.69791666666666663</v>
      </c>
    </row>
    <row r="56" spans="1:20" x14ac:dyDescent="0.3">
      <c r="A56">
        <v>55</v>
      </c>
      <c r="B56">
        <v>15</v>
      </c>
      <c r="C56" s="8">
        <v>46198</v>
      </c>
      <c r="D56" s="9">
        <v>0.66666666666666663</v>
      </c>
      <c r="E56" s="9">
        <v>0.83333333333333326</v>
      </c>
      <c r="F56" s="9">
        <v>0.625</v>
      </c>
      <c r="G56" s="9">
        <v>0.625</v>
      </c>
      <c r="H56" s="9">
        <v>0.875</v>
      </c>
      <c r="I56" t="s">
        <v>234</v>
      </c>
      <c r="J56" t="s">
        <v>30</v>
      </c>
      <c r="K56" t="s">
        <v>273</v>
      </c>
      <c r="L56" t="s">
        <v>26</v>
      </c>
      <c r="M56" t="s">
        <v>268</v>
      </c>
      <c r="N56" t="s">
        <v>137</v>
      </c>
      <c r="O56" t="s">
        <v>375</v>
      </c>
      <c r="P56" t="s">
        <v>270</v>
      </c>
      <c r="Q56" s="9">
        <v>0.375</v>
      </c>
      <c r="R56" s="9">
        <v>0.73958333333333326</v>
      </c>
      <c r="S56" s="9">
        <v>0.58333333333333326</v>
      </c>
      <c r="T56" s="9">
        <v>0.78125</v>
      </c>
    </row>
    <row r="57" spans="1:20" x14ac:dyDescent="0.3">
      <c r="A57">
        <v>56</v>
      </c>
      <c r="B57">
        <v>15</v>
      </c>
      <c r="C57" s="8">
        <v>46198</v>
      </c>
      <c r="D57" s="9">
        <v>0.66666666666666663</v>
      </c>
      <c r="E57" s="9">
        <v>0.83333333333333326</v>
      </c>
      <c r="F57" s="9">
        <v>0.625</v>
      </c>
      <c r="G57" s="9">
        <v>0.625</v>
      </c>
      <c r="H57" s="9">
        <v>0.875</v>
      </c>
      <c r="I57" t="s">
        <v>234</v>
      </c>
      <c r="J57" t="s">
        <v>91</v>
      </c>
      <c r="K57" t="s">
        <v>269</v>
      </c>
      <c r="L57" t="s">
        <v>17</v>
      </c>
      <c r="M57" t="s">
        <v>272</v>
      </c>
      <c r="N57" t="s">
        <v>24</v>
      </c>
      <c r="O57" t="s">
        <v>376</v>
      </c>
      <c r="P57" t="s">
        <v>262</v>
      </c>
      <c r="Q57" s="9">
        <v>0.33333333333333331</v>
      </c>
      <c r="R57" s="9">
        <v>0.73958333333333326</v>
      </c>
      <c r="S57" s="9">
        <v>0.41666666666666663</v>
      </c>
      <c r="T57" s="9">
        <v>0.78125</v>
      </c>
    </row>
    <row r="58" spans="1:20" x14ac:dyDescent="0.3">
      <c r="A58">
        <v>57</v>
      </c>
      <c r="B58">
        <v>15</v>
      </c>
      <c r="C58" s="8">
        <v>46198</v>
      </c>
      <c r="D58" s="9">
        <v>0.75</v>
      </c>
      <c r="E58" s="9">
        <v>0.95833333333333326</v>
      </c>
      <c r="F58" s="9">
        <v>0.75</v>
      </c>
      <c r="G58" s="9">
        <v>0.75</v>
      </c>
      <c r="H58" s="9">
        <v>0</v>
      </c>
      <c r="I58" t="s">
        <v>271</v>
      </c>
      <c r="J58" t="s">
        <v>144</v>
      </c>
      <c r="K58" t="s">
        <v>276</v>
      </c>
      <c r="L58" t="s">
        <v>29</v>
      </c>
      <c r="M58" t="s">
        <v>278</v>
      </c>
      <c r="N58" t="s">
        <v>141</v>
      </c>
      <c r="O58" t="s">
        <v>377</v>
      </c>
      <c r="P58" t="s">
        <v>277</v>
      </c>
      <c r="Q58" s="9">
        <v>0.41666666666666663</v>
      </c>
      <c r="R58" s="9">
        <v>0.60416666666666663</v>
      </c>
      <c r="S58" s="9">
        <v>0.75</v>
      </c>
      <c r="T58" s="9">
        <v>0.64583333333333326</v>
      </c>
    </row>
    <row r="59" spans="1:20" x14ac:dyDescent="0.3">
      <c r="A59">
        <v>58</v>
      </c>
      <c r="B59">
        <v>15</v>
      </c>
      <c r="C59" s="8">
        <v>46198</v>
      </c>
      <c r="D59" s="9">
        <v>0.75</v>
      </c>
      <c r="E59" s="9">
        <v>0.95833333333333326</v>
      </c>
      <c r="F59" s="9">
        <v>0.75</v>
      </c>
      <c r="G59" s="9">
        <v>0.75</v>
      </c>
      <c r="H59" s="9">
        <v>0</v>
      </c>
      <c r="I59" t="s">
        <v>271</v>
      </c>
      <c r="J59" t="s">
        <v>170</v>
      </c>
      <c r="K59" t="s">
        <v>279</v>
      </c>
      <c r="L59" t="s">
        <v>168</v>
      </c>
      <c r="M59" t="s">
        <v>275</v>
      </c>
      <c r="N59" t="s">
        <v>33</v>
      </c>
      <c r="O59" t="s">
        <v>378</v>
      </c>
      <c r="P59" t="s">
        <v>319</v>
      </c>
      <c r="Q59" s="9">
        <v>0.75</v>
      </c>
      <c r="R59" s="9">
        <v>0.60416666666666663</v>
      </c>
      <c r="S59" s="9">
        <v>0.4375</v>
      </c>
      <c r="T59" s="9">
        <v>0.64583333333333326</v>
      </c>
    </row>
    <row r="60" spans="1:20" x14ac:dyDescent="0.3">
      <c r="A60">
        <v>59</v>
      </c>
      <c r="B60">
        <v>15</v>
      </c>
      <c r="C60" s="8">
        <v>46198</v>
      </c>
      <c r="D60" s="9">
        <v>0.79166666666666663</v>
      </c>
      <c r="E60" s="9">
        <v>8.3333333333333329E-2</v>
      </c>
      <c r="F60" s="9">
        <v>0.875</v>
      </c>
      <c r="G60" s="9">
        <v>0.875</v>
      </c>
      <c r="H60" s="9">
        <v>0.125</v>
      </c>
      <c r="I60" t="s">
        <v>241</v>
      </c>
      <c r="J60" t="s">
        <v>200</v>
      </c>
      <c r="K60" t="s">
        <v>255</v>
      </c>
      <c r="L60" t="s">
        <v>256</v>
      </c>
      <c r="M60" t="s">
        <v>242</v>
      </c>
      <c r="N60" t="s">
        <v>243</v>
      </c>
      <c r="O60" t="s">
        <v>379</v>
      </c>
      <c r="P60" t="s">
        <v>247</v>
      </c>
      <c r="Q60" s="9">
        <v>0.8125</v>
      </c>
      <c r="R60" s="9">
        <v>0.6875</v>
      </c>
      <c r="S60" s="9">
        <v>0.54166666666666663</v>
      </c>
      <c r="T60" s="9">
        <v>0.73958333333333326</v>
      </c>
    </row>
    <row r="61" spans="1:20" x14ac:dyDescent="0.3">
      <c r="A61">
        <v>60</v>
      </c>
      <c r="B61">
        <v>15</v>
      </c>
      <c r="C61" s="8">
        <v>46198</v>
      </c>
      <c r="D61" s="9">
        <v>0.79166666666666663</v>
      </c>
      <c r="E61" s="9">
        <v>8.3333333333333329E-2</v>
      </c>
      <c r="F61" s="9">
        <v>0.875</v>
      </c>
      <c r="G61" s="9">
        <v>0.875</v>
      </c>
      <c r="H61" s="9">
        <v>0.125</v>
      </c>
      <c r="I61" t="s">
        <v>241</v>
      </c>
      <c r="J61" t="s">
        <v>176</v>
      </c>
      <c r="K61" t="s">
        <v>244</v>
      </c>
      <c r="L61" t="s">
        <v>245</v>
      </c>
      <c r="M61" t="s">
        <v>253</v>
      </c>
      <c r="N61" t="s">
        <v>254</v>
      </c>
      <c r="O61" t="s">
        <v>380</v>
      </c>
      <c r="P61" t="s">
        <v>267</v>
      </c>
      <c r="Q61" s="9">
        <v>0.8125</v>
      </c>
      <c r="R61" s="9">
        <v>0.6875</v>
      </c>
      <c r="S61" s="9">
        <v>0.875</v>
      </c>
      <c r="T61" s="9">
        <v>0.72916666666666663</v>
      </c>
    </row>
    <row r="62" spans="1:20" x14ac:dyDescent="0.3">
      <c r="A62">
        <v>61</v>
      </c>
      <c r="B62">
        <v>16</v>
      </c>
      <c r="C62" s="8">
        <v>46199</v>
      </c>
      <c r="D62" s="9">
        <v>0.625</v>
      </c>
      <c r="E62" s="9">
        <v>0.79166666666666663</v>
      </c>
      <c r="F62" s="9">
        <v>0.58333333333333326</v>
      </c>
      <c r="G62" s="9">
        <v>0.58333333333333326</v>
      </c>
      <c r="H62" s="9">
        <v>0.83333333333333326</v>
      </c>
      <c r="I62" t="s">
        <v>234</v>
      </c>
      <c r="J62" t="s">
        <v>30</v>
      </c>
      <c r="K62" t="s">
        <v>311</v>
      </c>
      <c r="L62" t="s">
        <v>312</v>
      </c>
      <c r="M62" t="s">
        <v>304</v>
      </c>
      <c r="N62" t="s">
        <v>305</v>
      </c>
      <c r="O62" t="s">
        <v>381</v>
      </c>
      <c r="P62" t="s">
        <v>252</v>
      </c>
      <c r="Q62" s="9">
        <v>0.6875</v>
      </c>
      <c r="R62" s="9">
        <v>0.75</v>
      </c>
      <c r="S62" s="9">
        <v>0.60416666666666663</v>
      </c>
      <c r="T62" s="9">
        <v>0.375</v>
      </c>
    </row>
    <row r="63" spans="1:20" x14ac:dyDescent="0.3">
      <c r="A63">
        <v>62</v>
      </c>
      <c r="B63">
        <v>16</v>
      </c>
      <c r="C63" s="8">
        <v>46199</v>
      </c>
      <c r="D63" s="9">
        <v>0.625</v>
      </c>
      <c r="E63" s="9">
        <v>0.79166666666666663</v>
      </c>
      <c r="F63" s="9">
        <v>0.58333333333333326</v>
      </c>
      <c r="G63" s="9">
        <v>0.58333333333333326</v>
      </c>
      <c r="H63" s="9">
        <v>0.83333333333333326</v>
      </c>
      <c r="I63" t="s">
        <v>234</v>
      </c>
      <c r="J63" t="s">
        <v>91</v>
      </c>
      <c r="K63" t="s">
        <v>306</v>
      </c>
      <c r="L63" t="s">
        <v>307</v>
      </c>
      <c r="M63" t="s">
        <v>309</v>
      </c>
      <c r="N63" t="s">
        <v>310</v>
      </c>
      <c r="O63" t="s">
        <v>382</v>
      </c>
      <c r="P63" t="s">
        <v>240</v>
      </c>
      <c r="Q63" s="9">
        <v>0.66666666666666663</v>
      </c>
      <c r="R63" s="9">
        <v>0.5625</v>
      </c>
      <c r="S63" s="9">
        <v>0.45833333333333331</v>
      </c>
      <c r="T63" s="9">
        <v>0.60416666666666663</v>
      </c>
    </row>
    <row r="64" spans="1:20" x14ac:dyDescent="0.3">
      <c r="A64">
        <v>63</v>
      </c>
      <c r="B64">
        <v>16</v>
      </c>
      <c r="C64" s="8">
        <v>46199</v>
      </c>
      <c r="D64" s="9">
        <v>0.83333333333333326</v>
      </c>
      <c r="E64" s="9">
        <v>0.125</v>
      </c>
      <c r="F64" s="9">
        <v>0.91666666666666663</v>
      </c>
      <c r="G64" s="9">
        <v>0.91666666666666663</v>
      </c>
      <c r="H64" s="9">
        <v>0.16666666666666666</v>
      </c>
      <c r="I64" t="s">
        <v>241</v>
      </c>
      <c r="J64" t="s">
        <v>200</v>
      </c>
      <c r="K64" t="s">
        <v>300</v>
      </c>
      <c r="L64" t="s">
        <v>301</v>
      </c>
      <c r="M64" t="s">
        <v>293</v>
      </c>
      <c r="N64" t="s">
        <v>294</v>
      </c>
      <c r="O64" t="s">
        <v>383</v>
      </c>
      <c r="P64" t="s">
        <v>303</v>
      </c>
      <c r="Q64" s="9">
        <v>0.91666666666666663</v>
      </c>
      <c r="R64" s="9">
        <v>0.6875</v>
      </c>
      <c r="S64" s="9">
        <v>0.77083333333333326</v>
      </c>
      <c r="T64" s="9">
        <v>0.86458333333333326</v>
      </c>
    </row>
    <row r="65" spans="1:20" x14ac:dyDescent="0.3">
      <c r="A65">
        <v>64</v>
      </c>
      <c r="B65">
        <v>16</v>
      </c>
      <c r="C65" s="8">
        <v>46199</v>
      </c>
      <c r="D65" s="9">
        <v>0.83333333333333326</v>
      </c>
      <c r="E65" s="9">
        <v>0.125</v>
      </c>
      <c r="F65" s="9">
        <v>0.91666666666666663</v>
      </c>
      <c r="G65" s="9">
        <v>0.91666666666666663</v>
      </c>
      <c r="H65" s="9">
        <v>0.16666666666666666</v>
      </c>
      <c r="I65" t="s">
        <v>241</v>
      </c>
      <c r="J65" t="s">
        <v>176</v>
      </c>
      <c r="K65" t="s">
        <v>295</v>
      </c>
      <c r="L65" t="s">
        <v>296</v>
      </c>
      <c r="M65" t="s">
        <v>298</v>
      </c>
      <c r="N65" t="s">
        <v>299</v>
      </c>
      <c r="O65" t="s">
        <v>384</v>
      </c>
      <c r="P65" t="s">
        <v>257</v>
      </c>
      <c r="Q65" s="9">
        <v>0.53125</v>
      </c>
      <c r="R65" s="9">
        <v>0.73958333333333326</v>
      </c>
      <c r="S65" s="9">
        <v>0.54166666666666663</v>
      </c>
      <c r="T65" s="9">
        <v>0.86458333333333326</v>
      </c>
    </row>
    <row r="66" spans="1:20" x14ac:dyDescent="0.3">
      <c r="A66">
        <v>65</v>
      </c>
      <c r="B66">
        <v>16</v>
      </c>
      <c r="C66" s="8">
        <v>46199</v>
      </c>
      <c r="D66" s="9">
        <v>0.79166666666666663</v>
      </c>
      <c r="E66" s="9">
        <v>0</v>
      </c>
      <c r="F66" s="9">
        <v>0.79166666666666663</v>
      </c>
      <c r="G66" s="9">
        <v>0.79166666666666663</v>
      </c>
      <c r="H66" s="9">
        <v>4.1666666666666664E-2</v>
      </c>
      <c r="I66" t="s">
        <v>271</v>
      </c>
      <c r="J66" t="s">
        <v>144</v>
      </c>
      <c r="K66" t="s">
        <v>289</v>
      </c>
      <c r="L66" t="s">
        <v>290</v>
      </c>
      <c r="M66" t="s">
        <v>281</v>
      </c>
      <c r="N66" t="s">
        <v>282</v>
      </c>
      <c r="O66" t="s">
        <v>385</v>
      </c>
      <c r="P66" t="s">
        <v>274</v>
      </c>
      <c r="Q66" s="9">
        <v>0.33333333333333331</v>
      </c>
      <c r="R66" s="9">
        <v>0.78125</v>
      </c>
      <c r="S66" s="9">
        <v>0.72916666666666663</v>
      </c>
      <c r="T66" s="9">
        <v>0.65625</v>
      </c>
    </row>
    <row r="67" spans="1:20" x14ac:dyDescent="0.3">
      <c r="A67">
        <v>66</v>
      </c>
      <c r="B67">
        <v>16</v>
      </c>
      <c r="C67" s="8">
        <v>46199</v>
      </c>
      <c r="D67" s="9">
        <v>0.75</v>
      </c>
      <c r="E67" s="9">
        <v>0</v>
      </c>
      <c r="F67" s="9">
        <v>0.79166666666666663</v>
      </c>
      <c r="G67" s="9">
        <v>0.79166666666666663</v>
      </c>
      <c r="H67" s="9">
        <v>4.1666666666666664E-2</v>
      </c>
      <c r="I67" t="s">
        <v>221</v>
      </c>
      <c r="J67" t="s">
        <v>170</v>
      </c>
      <c r="K67" t="s">
        <v>283</v>
      </c>
      <c r="L67" t="s">
        <v>284</v>
      </c>
      <c r="M67" t="s">
        <v>287</v>
      </c>
      <c r="N67" t="s">
        <v>288</v>
      </c>
      <c r="O67" t="s">
        <v>386</v>
      </c>
      <c r="P67" t="s">
        <v>233</v>
      </c>
      <c r="Q67" s="9">
        <v>0.375</v>
      </c>
      <c r="R67" s="9">
        <v>0.82291666666666663</v>
      </c>
      <c r="S67" s="9">
        <v>0.5</v>
      </c>
      <c r="T67" s="9">
        <v>0.69791666666666663</v>
      </c>
    </row>
    <row r="68" spans="1:20" x14ac:dyDescent="0.3">
      <c r="A68">
        <v>67</v>
      </c>
      <c r="B68">
        <v>17</v>
      </c>
      <c r="C68" s="8">
        <v>46200</v>
      </c>
      <c r="D68" s="9">
        <v>0.70833333333333326</v>
      </c>
      <c r="E68" s="9">
        <v>0.875</v>
      </c>
      <c r="F68" s="9">
        <v>0.66666666666666663</v>
      </c>
      <c r="G68" s="9">
        <v>0.66666666666666663</v>
      </c>
      <c r="H68" s="9">
        <v>0.91666666666666663</v>
      </c>
      <c r="I68" t="s">
        <v>234</v>
      </c>
      <c r="J68" t="s">
        <v>30</v>
      </c>
      <c r="K68" t="s">
        <v>327</v>
      </c>
      <c r="L68" t="s">
        <v>328</v>
      </c>
      <c r="M68" t="s">
        <v>330</v>
      </c>
      <c r="N68" t="s">
        <v>331</v>
      </c>
      <c r="O68" t="s">
        <v>387</v>
      </c>
      <c r="P68" t="s">
        <v>262</v>
      </c>
      <c r="Q68" s="9">
        <v>0.375</v>
      </c>
      <c r="R68" s="9">
        <v>0.61458333333333326</v>
      </c>
      <c r="S68" s="9">
        <v>0.42708333333333331</v>
      </c>
      <c r="T68" s="9">
        <v>0.73958333333333326</v>
      </c>
    </row>
    <row r="69" spans="1:20" x14ac:dyDescent="0.3">
      <c r="A69">
        <v>68</v>
      </c>
      <c r="B69">
        <v>17</v>
      </c>
      <c r="C69" s="8">
        <v>46200</v>
      </c>
      <c r="D69" s="9">
        <v>0.70833333333333326</v>
      </c>
      <c r="E69" s="9">
        <v>0.875</v>
      </c>
      <c r="F69" s="9">
        <v>0.66666666666666663</v>
      </c>
      <c r="G69" s="9">
        <v>0.66666666666666663</v>
      </c>
      <c r="H69" s="9">
        <v>0.91666666666666663</v>
      </c>
      <c r="I69" t="s">
        <v>234</v>
      </c>
      <c r="J69" t="s">
        <v>91</v>
      </c>
      <c r="K69" t="s">
        <v>332</v>
      </c>
      <c r="L69" t="s">
        <v>333</v>
      </c>
      <c r="M69" t="s">
        <v>325</v>
      </c>
      <c r="N69" t="s">
        <v>326</v>
      </c>
      <c r="O69" t="s">
        <v>388</v>
      </c>
      <c r="P69" t="s">
        <v>270</v>
      </c>
      <c r="Q69" s="9">
        <v>0.66666666666666663</v>
      </c>
      <c r="R69" s="9">
        <v>0.75</v>
      </c>
      <c r="S69" s="9">
        <v>0.83333333333333326</v>
      </c>
      <c r="T69" s="9">
        <v>0.60416666666666663</v>
      </c>
    </row>
    <row r="70" spans="1:20" x14ac:dyDescent="0.3">
      <c r="A70">
        <v>69</v>
      </c>
      <c r="B70">
        <v>17</v>
      </c>
      <c r="C70" s="8">
        <v>46200</v>
      </c>
      <c r="D70" s="9">
        <v>0.875</v>
      </c>
      <c r="E70" s="9">
        <v>8.3333333333333329E-2</v>
      </c>
      <c r="F70" s="9">
        <v>0.875</v>
      </c>
      <c r="G70" s="9">
        <v>0.875</v>
      </c>
      <c r="H70" s="9">
        <v>0.125</v>
      </c>
      <c r="I70" t="s">
        <v>271</v>
      </c>
      <c r="J70" t="s">
        <v>200</v>
      </c>
      <c r="K70" t="s">
        <v>316</v>
      </c>
      <c r="L70" t="s">
        <v>317</v>
      </c>
      <c r="M70" t="s">
        <v>320</v>
      </c>
      <c r="N70" t="s">
        <v>321</v>
      </c>
      <c r="O70" t="s">
        <v>389</v>
      </c>
      <c r="P70" t="s">
        <v>319</v>
      </c>
      <c r="Q70" s="9">
        <v>0.75</v>
      </c>
      <c r="R70" s="9">
        <v>0.64583333333333326</v>
      </c>
      <c r="S70" s="9">
        <v>0.79166666666666663</v>
      </c>
      <c r="T70" s="9">
        <v>0.60416666666666663</v>
      </c>
    </row>
    <row r="71" spans="1:20" x14ac:dyDescent="0.3">
      <c r="A71">
        <v>70</v>
      </c>
      <c r="B71">
        <v>17</v>
      </c>
      <c r="C71" s="8">
        <v>46200</v>
      </c>
      <c r="D71" s="9">
        <v>0.875</v>
      </c>
      <c r="E71" s="9">
        <v>8.3333333333333329E-2</v>
      </c>
      <c r="F71" s="9">
        <v>0.875</v>
      </c>
      <c r="G71" s="9">
        <v>0.875</v>
      </c>
      <c r="H71" s="9">
        <v>0.125</v>
      </c>
      <c r="I71" t="s">
        <v>271</v>
      </c>
      <c r="J71" t="s">
        <v>176</v>
      </c>
      <c r="K71" t="s">
        <v>322</v>
      </c>
      <c r="L71" t="s">
        <v>323</v>
      </c>
      <c r="M71" t="s">
        <v>314</v>
      </c>
      <c r="N71" t="s">
        <v>315</v>
      </c>
      <c r="O71" t="s">
        <v>390</v>
      </c>
      <c r="P71" t="s">
        <v>277</v>
      </c>
      <c r="Q71" s="9">
        <v>0.84375</v>
      </c>
      <c r="R71" s="9">
        <v>0.65625</v>
      </c>
      <c r="S71" s="9">
        <v>0.69791666666666663</v>
      </c>
      <c r="T71" s="9">
        <v>0.78125</v>
      </c>
    </row>
    <row r="72" spans="1:20" x14ac:dyDescent="0.3">
      <c r="A72">
        <v>71</v>
      </c>
      <c r="B72">
        <v>17</v>
      </c>
      <c r="C72" s="8">
        <v>46200</v>
      </c>
      <c r="D72" s="9">
        <v>0.8125</v>
      </c>
      <c r="E72" s="9">
        <v>0.97916666666666663</v>
      </c>
      <c r="F72" s="9">
        <v>0.77083333333333326</v>
      </c>
      <c r="G72" s="9">
        <v>0.77083333333333326</v>
      </c>
      <c r="H72" s="9">
        <v>2.0833333333333332E-2</v>
      </c>
      <c r="I72" t="s">
        <v>234</v>
      </c>
      <c r="J72" t="s">
        <v>144</v>
      </c>
      <c r="K72" t="s">
        <v>342</v>
      </c>
      <c r="L72" t="s">
        <v>343</v>
      </c>
      <c r="M72" t="s">
        <v>335</v>
      </c>
      <c r="N72" t="s">
        <v>336</v>
      </c>
      <c r="O72" t="s">
        <v>391</v>
      </c>
      <c r="P72" t="s">
        <v>286</v>
      </c>
      <c r="Q72" s="9">
        <v>0.66666666666666663</v>
      </c>
      <c r="R72" s="9">
        <v>0.5625</v>
      </c>
      <c r="S72" s="9">
        <v>0.72916666666666663</v>
      </c>
      <c r="T72" s="9">
        <v>0.60416666666666663</v>
      </c>
    </row>
    <row r="73" spans="1:20" x14ac:dyDescent="0.3">
      <c r="A73">
        <v>72</v>
      </c>
      <c r="B73">
        <v>17</v>
      </c>
      <c r="C73" s="8">
        <v>46200</v>
      </c>
      <c r="D73" s="9">
        <v>0.8125</v>
      </c>
      <c r="E73" s="9">
        <v>0.97916666666666663</v>
      </c>
      <c r="F73" s="9">
        <v>0.77083333333333326</v>
      </c>
      <c r="G73" s="9">
        <v>0.77083333333333326</v>
      </c>
      <c r="H73" s="9">
        <v>2.0833333333333332E-2</v>
      </c>
      <c r="I73" t="s">
        <v>234</v>
      </c>
      <c r="J73" t="s">
        <v>170</v>
      </c>
      <c r="K73" t="s">
        <v>337</v>
      </c>
      <c r="L73" t="s">
        <v>338</v>
      </c>
      <c r="M73" t="s">
        <v>340</v>
      </c>
      <c r="N73" t="s">
        <v>341</v>
      </c>
      <c r="O73" t="s">
        <v>392</v>
      </c>
      <c r="P73" t="s">
        <v>292</v>
      </c>
      <c r="Q73" s="9">
        <v>0.75</v>
      </c>
      <c r="R73" s="9">
        <v>0.5625</v>
      </c>
      <c r="S73" s="9">
        <v>0.41666666666666663</v>
      </c>
      <c r="T73" s="9">
        <v>0.60416666666666663</v>
      </c>
    </row>
    <row r="74" spans="1:20" x14ac:dyDescent="0.3">
      <c r="A74">
        <v>73</v>
      </c>
      <c r="B74">
        <v>18</v>
      </c>
      <c r="C74" s="8">
        <v>46201</v>
      </c>
      <c r="D74" s="9">
        <v>0.5</v>
      </c>
      <c r="E74" s="9">
        <v>0.79166666666666663</v>
      </c>
      <c r="F74" s="9">
        <v>0.58333333333333326</v>
      </c>
      <c r="G74" s="9">
        <v>0.58333333333333326</v>
      </c>
      <c r="H74" s="9">
        <v>0.83333333333333326</v>
      </c>
      <c r="I74" t="s">
        <v>241</v>
      </c>
      <c r="J74" t="s">
        <v>30</v>
      </c>
      <c r="K74" t="s">
        <v>393</v>
      </c>
      <c r="L74" t="s">
        <v>393</v>
      </c>
      <c r="M74" t="s">
        <v>394</v>
      </c>
      <c r="N74" t="s">
        <v>394</v>
      </c>
      <c r="O74" t="s">
        <v>395</v>
      </c>
      <c r="P74" t="s">
        <v>247</v>
      </c>
    </row>
    <row r="75" spans="1:20" x14ac:dyDescent="0.3">
      <c r="A75">
        <v>74</v>
      </c>
      <c r="B75">
        <v>19</v>
      </c>
      <c r="C75" s="8">
        <v>46202</v>
      </c>
      <c r="D75" s="9">
        <v>0.6875</v>
      </c>
      <c r="E75" s="9">
        <v>0.85416666666666663</v>
      </c>
      <c r="F75" s="9">
        <v>0.64583333333333326</v>
      </c>
      <c r="G75" s="9">
        <v>0.64583333333333326</v>
      </c>
      <c r="H75" s="9">
        <v>0.89583333333333326</v>
      </c>
      <c r="I75" t="s">
        <v>234</v>
      </c>
      <c r="J75" t="s">
        <v>91</v>
      </c>
      <c r="K75" t="s">
        <v>396</v>
      </c>
      <c r="L75" t="s">
        <v>396</v>
      </c>
      <c r="M75" t="s">
        <v>397</v>
      </c>
      <c r="N75" t="s">
        <v>397</v>
      </c>
      <c r="O75" t="s">
        <v>398</v>
      </c>
      <c r="P75" t="s">
        <v>252</v>
      </c>
    </row>
    <row r="76" spans="1:20" x14ac:dyDescent="0.3">
      <c r="A76">
        <v>75</v>
      </c>
      <c r="B76">
        <v>19</v>
      </c>
      <c r="C76" s="8">
        <v>46202</v>
      </c>
      <c r="D76" s="9">
        <v>0.79166666666666663</v>
      </c>
      <c r="E76" s="9">
        <v>4.1666666666666664E-2</v>
      </c>
      <c r="F76" s="9">
        <v>0.83333333333333326</v>
      </c>
      <c r="G76" s="9">
        <v>0.83333333333333326</v>
      </c>
      <c r="H76" s="9">
        <v>8.3333333333333329E-2</v>
      </c>
      <c r="I76" t="s">
        <v>221</v>
      </c>
      <c r="J76" t="s">
        <v>144</v>
      </c>
      <c r="K76" t="s">
        <v>399</v>
      </c>
      <c r="L76" t="s">
        <v>399</v>
      </c>
      <c r="M76" t="s">
        <v>400</v>
      </c>
      <c r="N76" t="s">
        <v>400</v>
      </c>
      <c r="O76" t="s">
        <v>401</v>
      </c>
      <c r="P76" t="s">
        <v>280</v>
      </c>
    </row>
    <row r="77" spans="1:20" x14ac:dyDescent="0.3">
      <c r="A77">
        <v>76</v>
      </c>
      <c r="B77">
        <v>19</v>
      </c>
      <c r="C77" s="8">
        <v>46202</v>
      </c>
      <c r="D77" s="9">
        <v>0.5</v>
      </c>
      <c r="E77" s="9">
        <v>0.70833333333333326</v>
      </c>
      <c r="F77" s="9">
        <v>0.5</v>
      </c>
      <c r="G77" s="9">
        <v>0.5</v>
      </c>
      <c r="H77" s="9">
        <v>0.75</v>
      </c>
      <c r="I77" t="s">
        <v>271</v>
      </c>
      <c r="J77" t="s">
        <v>30</v>
      </c>
      <c r="K77" t="s">
        <v>402</v>
      </c>
      <c r="L77" t="s">
        <v>402</v>
      </c>
      <c r="M77" t="s">
        <v>403</v>
      </c>
      <c r="N77" t="s">
        <v>403</v>
      </c>
      <c r="O77" t="s">
        <v>404</v>
      </c>
      <c r="P77" t="s">
        <v>274</v>
      </c>
    </row>
    <row r="78" spans="1:20" x14ac:dyDescent="0.3">
      <c r="A78">
        <v>77</v>
      </c>
      <c r="B78">
        <v>20</v>
      </c>
      <c r="C78" s="8">
        <v>46203</v>
      </c>
      <c r="D78" s="9">
        <v>0.70833333333333326</v>
      </c>
      <c r="E78" s="9">
        <v>0.875</v>
      </c>
      <c r="F78" s="9">
        <v>0.66666666666666663</v>
      </c>
      <c r="G78" s="9">
        <v>0.66666666666666663</v>
      </c>
      <c r="H78" s="9">
        <v>0.91666666666666663</v>
      </c>
      <c r="I78" t="s">
        <v>234</v>
      </c>
      <c r="J78" t="s">
        <v>91</v>
      </c>
      <c r="K78" t="s">
        <v>405</v>
      </c>
      <c r="L78" t="s">
        <v>405</v>
      </c>
      <c r="M78" t="s">
        <v>406</v>
      </c>
      <c r="N78" t="s">
        <v>406</v>
      </c>
      <c r="O78" t="s">
        <v>407</v>
      </c>
      <c r="P78" t="s">
        <v>262</v>
      </c>
    </row>
    <row r="79" spans="1:20" x14ac:dyDescent="0.3">
      <c r="A79">
        <v>78</v>
      </c>
      <c r="B79">
        <v>20</v>
      </c>
      <c r="C79" s="8">
        <v>46203</v>
      </c>
      <c r="D79" s="9">
        <v>0.5</v>
      </c>
      <c r="E79" s="9">
        <v>0.70833333333333326</v>
      </c>
      <c r="F79" s="9">
        <v>0.5</v>
      </c>
      <c r="G79" s="9">
        <v>0.5</v>
      </c>
      <c r="H79" s="9">
        <v>0.75</v>
      </c>
      <c r="I79" t="s">
        <v>271</v>
      </c>
      <c r="J79" t="s">
        <v>30</v>
      </c>
      <c r="K79" t="s">
        <v>408</v>
      </c>
      <c r="L79" t="s">
        <v>408</v>
      </c>
      <c r="M79" t="s">
        <v>409</v>
      </c>
      <c r="N79" t="s">
        <v>409</v>
      </c>
      <c r="O79" t="s">
        <v>410</v>
      </c>
      <c r="P79" t="s">
        <v>277</v>
      </c>
    </row>
    <row r="80" spans="1:20" x14ac:dyDescent="0.3">
      <c r="A80">
        <v>79</v>
      </c>
      <c r="B80">
        <v>20</v>
      </c>
      <c r="C80" s="8">
        <v>46203</v>
      </c>
      <c r="D80" s="9">
        <v>0.79166666666666663</v>
      </c>
      <c r="E80" s="9">
        <v>4.1666666666666664E-2</v>
      </c>
      <c r="F80" s="9">
        <v>0.83333333333333326</v>
      </c>
      <c r="G80" s="9">
        <v>0.83333333333333326</v>
      </c>
      <c r="H80" s="9">
        <v>8.3333333333333329E-2</v>
      </c>
      <c r="I80" t="s">
        <v>221</v>
      </c>
      <c r="J80" t="s">
        <v>144</v>
      </c>
      <c r="K80" t="s">
        <v>411</v>
      </c>
      <c r="L80" t="s">
        <v>411</v>
      </c>
      <c r="M80" t="s">
        <v>412</v>
      </c>
      <c r="N80" t="s">
        <v>412</v>
      </c>
      <c r="O80" t="s">
        <v>413</v>
      </c>
      <c r="P80" t="s">
        <v>227</v>
      </c>
    </row>
    <row r="81" spans="1:16" x14ac:dyDescent="0.3">
      <c r="A81">
        <v>80</v>
      </c>
      <c r="B81">
        <v>21</v>
      </c>
      <c r="C81" s="8">
        <v>46204</v>
      </c>
      <c r="D81" s="9">
        <v>0.5</v>
      </c>
      <c r="E81" s="9">
        <v>0.66666666666666663</v>
      </c>
      <c r="F81" s="9">
        <v>0.45833333333333331</v>
      </c>
      <c r="G81" s="9">
        <v>0.45833333333333331</v>
      </c>
      <c r="H81" s="9">
        <v>0.70833333333333326</v>
      </c>
      <c r="I81" t="s">
        <v>234</v>
      </c>
      <c r="J81" t="s">
        <v>30</v>
      </c>
      <c r="K81" t="s">
        <v>414</v>
      </c>
      <c r="L81" t="s">
        <v>414</v>
      </c>
      <c r="M81" t="s">
        <v>415</v>
      </c>
      <c r="N81" t="s">
        <v>415</v>
      </c>
      <c r="O81" t="s">
        <v>416</v>
      </c>
      <c r="P81" t="s">
        <v>292</v>
      </c>
    </row>
    <row r="82" spans="1:16" x14ac:dyDescent="0.3">
      <c r="A82">
        <v>81</v>
      </c>
      <c r="B82">
        <v>21</v>
      </c>
      <c r="C82" s="8">
        <v>46204</v>
      </c>
      <c r="D82" s="9">
        <v>0.70833333333333326</v>
      </c>
      <c r="E82" s="9">
        <v>0</v>
      </c>
      <c r="F82" s="9">
        <v>0.79166666666666663</v>
      </c>
      <c r="G82" s="9">
        <v>0.79166666666666663</v>
      </c>
      <c r="H82" s="9">
        <v>4.1666666666666664E-2</v>
      </c>
      <c r="I82" t="s">
        <v>241</v>
      </c>
      <c r="J82" t="s">
        <v>144</v>
      </c>
      <c r="K82" t="s">
        <v>417</v>
      </c>
      <c r="L82" t="s">
        <v>417</v>
      </c>
      <c r="M82" t="s">
        <v>418</v>
      </c>
      <c r="N82" t="s">
        <v>418</v>
      </c>
      <c r="O82" t="s">
        <v>419</v>
      </c>
      <c r="P82" t="s">
        <v>267</v>
      </c>
    </row>
    <row r="83" spans="1:16" x14ac:dyDescent="0.3">
      <c r="A83">
        <v>82</v>
      </c>
      <c r="B83">
        <v>21</v>
      </c>
      <c r="C83" s="8">
        <v>46204</v>
      </c>
      <c r="D83" s="9">
        <v>0.54166666666666663</v>
      </c>
      <c r="E83" s="9">
        <v>0.83333333333333326</v>
      </c>
      <c r="F83" s="9">
        <v>0.625</v>
      </c>
      <c r="G83" s="9">
        <v>0.625</v>
      </c>
      <c r="H83" s="9">
        <v>0.875</v>
      </c>
      <c r="I83" t="s">
        <v>241</v>
      </c>
      <c r="J83" t="s">
        <v>91</v>
      </c>
      <c r="K83" t="s">
        <v>420</v>
      </c>
      <c r="L83" t="s">
        <v>420</v>
      </c>
      <c r="M83" t="s">
        <v>421</v>
      </c>
      <c r="N83" t="s">
        <v>421</v>
      </c>
      <c r="O83" t="s">
        <v>422</v>
      </c>
      <c r="P83" t="s">
        <v>303</v>
      </c>
    </row>
    <row r="84" spans="1:16" x14ac:dyDescent="0.3">
      <c r="A84">
        <v>83</v>
      </c>
      <c r="B84">
        <v>22</v>
      </c>
      <c r="C84" s="8">
        <v>46205</v>
      </c>
      <c r="D84" s="9">
        <v>0.79166666666666663</v>
      </c>
      <c r="E84" s="9">
        <v>0.95833333333333326</v>
      </c>
      <c r="F84" s="9">
        <v>0.75</v>
      </c>
      <c r="G84" s="9">
        <v>0.75</v>
      </c>
      <c r="H84" s="9">
        <v>0</v>
      </c>
      <c r="I84" t="s">
        <v>234</v>
      </c>
      <c r="J84" t="s">
        <v>91</v>
      </c>
      <c r="K84" t="s">
        <v>423</v>
      </c>
      <c r="L84" t="s">
        <v>423</v>
      </c>
      <c r="M84" t="s">
        <v>424</v>
      </c>
      <c r="N84" t="s">
        <v>424</v>
      </c>
      <c r="O84" t="s">
        <v>425</v>
      </c>
      <c r="P84" t="s">
        <v>240</v>
      </c>
    </row>
    <row r="85" spans="1:16" x14ac:dyDescent="0.3">
      <c r="A85">
        <v>84</v>
      </c>
      <c r="B85">
        <v>22</v>
      </c>
      <c r="C85" s="8">
        <v>46205</v>
      </c>
      <c r="D85" s="9">
        <v>0.5</v>
      </c>
      <c r="E85" s="9">
        <v>0.79166666666666663</v>
      </c>
      <c r="F85" s="9">
        <v>0.58333333333333326</v>
      </c>
      <c r="G85" s="9">
        <v>0.58333333333333326</v>
      </c>
      <c r="H85" s="9">
        <v>0.83333333333333326</v>
      </c>
      <c r="I85" t="s">
        <v>241</v>
      </c>
      <c r="J85" t="s">
        <v>30</v>
      </c>
      <c r="K85" t="s">
        <v>426</v>
      </c>
      <c r="L85" t="s">
        <v>426</v>
      </c>
      <c r="M85" t="s">
        <v>427</v>
      </c>
      <c r="N85" t="s">
        <v>427</v>
      </c>
      <c r="O85" t="s">
        <v>428</v>
      </c>
      <c r="P85" t="s">
        <v>247</v>
      </c>
    </row>
    <row r="86" spans="1:16" x14ac:dyDescent="0.3">
      <c r="A86">
        <v>85</v>
      </c>
      <c r="B86">
        <v>22</v>
      </c>
      <c r="C86" s="8">
        <v>46205</v>
      </c>
      <c r="D86" s="9">
        <v>0.83333333333333326</v>
      </c>
      <c r="E86" s="9">
        <v>0.125</v>
      </c>
      <c r="F86" s="9">
        <v>0.91666666666666663</v>
      </c>
      <c r="G86" s="9">
        <v>0.91666666666666663</v>
      </c>
      <c r="H86" s="9">
        <v>0.16666666666666666</v>
      </c>
      <c r="I86" t="s">
        <v>241</v>
      </c>
      <c r="J86" t="s">
        <v>144</v>
      </c>
      <c r="K86" t="s">
        <v>429</v>
      </c>
      <c r="L86" t="s">
        <v>429</v>
      </c>
      <c r="M86" t="s">
        <v>430</v>
      </c>
      <c r="N86" t="s">
        <v>430</v>
      </c>
      <c r="O86" t="s">
        <v>431</v>
      </c>
      <c r="P86" t="s">
        <v>257</v>
      </c>
    </row>
    <row r="87" spans="1:16" x14ac:dyDescent="0.3">
      <c r="A87">
        <v>86</v>
      </c>
      <c r="B87">
        <v>23</v>
      </c>
      <c r="C87" s="8">
        <v>46206</v>
      </c>
      <c r="D87" s="9">
        <v>0.75</v>
      </c>
      <c r="E87" s="9">
        <v>0.91666666666666663</v>
      </c>
      <c r="F87" s="9">
        <v>0.70833333333333326</v>
      </c>
      <c r="G87" s="9">
        <v>0.70833333333333326</v>
      </c>
      <c r="H87" s="9">
        <v>0.95833333333333326</v>
      </c>
      <c r="I87" t="s">
        <v>234</v>
      </c>
      <c r="J87" t="s">
        <v>91</v>
      </c>
      <c r="K87" t="s">
        <v>432</v>
      </c>
      <c r="L87" t="s">
        <v>432</v>
      </c>
      <c r="M87" t="s">
        <v>433</v>
      </c>
      <c r="N87" t="s">
        <v>433</v>
      </c>
      <c r="O87" t="s">
        <v>434</v>
      </c>
      <c r="P87" t="s">
        <v>286</v>
      </c>
    </row>
    <row r="88" spans="1:16" x14ac:dyDescent="0.3">
      <c r="A88">
        <v>87</v>
      </c>
      <c r="B88">
        <v>23</v>
      </c>
      <c r="C88" s="8">
        <v>46206</v>
      </c>
      <c r="D88" s="9">
        <v>0.85416666666666663</v>
      </c>
      <c r="E88" s="9">
        <v>6.25E-2</v>
      </c>
      <c r="F88" s="9">
        <v>0.85416666666666663</v>
      </c>
      <c r="G88" s="9">
        <v>0.85416666666666663</v>
      </c>
      <c r="H88" s="9">
        <v>0.10416666666666666</v>
      </c>
      <c r="I88" t="s">
        <v>271</v>
      </c>
      <c r="J88" t="s">
        <v>144</v>
      </c>
      <c r="K88" t="s">
        <v>435</v>
      </c>
      <c r="L88" t="s">
        <v>435</v>
      </c>
      <c r="M88" t="s">
        <v>436</v>
      </c>
      <c r="N88" t="s">
        <v>436</v>
      </c>
      <c r="O88" t="s">
        <v>437</v>
      </c>
      <c r="P88" t="s">
        <v>319</v>
      </c>
    </row>
    <row r="89" spans="1:16" x14ac:dyDescent="0.3">
      <c r="A89">
        <v>88</v>
      </c>
      <c r="B89">
        <v>23</v>
      </c>
      <c r="C89" s="8">
        <v>46206</v>
      </c>
      <c r="D89" s="9">
        <v>0.54166666666666663</v>
      </c>
      <c r="E89" s="9">
        <v>0.75</v>
      </c>
      <c r="F89" s="9">
        <v>0.54166666666666663</v>
      </c>
      <c r="G89" s="9">
        <v>0.54166666666666663</v>
      </c>
      <c r="H89" s="9">
        <v>0.79166666666666663</v>
      </c>
      <c r="I89" t="s">
        <v>271</v>
      </c>
      <c r="J89" t="s">
        <v>30</v>
      </c>
      <c r="K89" t="s">
        <v>438</v>
      </c>
      <c r="L89" t="s">
        <v>438</v>
      </c>
      <c r="M89" t="s">
        <v>439</v>
      </c>
      <c r="N89" t="s">
        <v>439</v>
      </c>
      <c r="O89" t="s">
        <v>440</v>
      </c>
      <c r="P89" t="s">
        <v>277</v>
      </c>
    </row>
    <row r="90" spans="1:16" x14ac:dyDescent="0.3">
      <c r="A90">
        <v>89</v>
      </c>
      <c r="B90">
        <v>24</v>
      </c>
      <c r="C90" s="8">
        <v>46207</v>
      </c>
      <c r="D90" s="9">
        <v>0.70833333333333326</v>
      </c>
      <c r="E90" s="9">
        <v>0.875</v>
      </c>
      <c r="F90" s="9">
        <v>0.66666666666666663</v>
      </c>
      <c r="G90" s="9">
        <v>0.66666666666666663</v>
      </c>
      <c r="H90" s="9">
        <v>0.91666666666666663</v>
      </c>
      <c r="I90" t="s">
        <v>234</v>
      </c>
      <c r="J90" t="s">
        <v>91</v>
      </c>
      <c r="K90" t="s">
        <v>441</v>
      </c>
      <c r="L90" t="s">
        <v>441</v>
      </c>
      <c r="M90" t="s">
        <v>442</v>
      </c>
      <c r="N90" t="s">
        <v>442</v>
      </c>
      <c r="O90" t="s">
        <v>443</v>
      </c>
      <c r="P90" t="s">
        <v>270</v>
      </c>
    </row>
    <row r="91" spans="1:16" x14ac:dyDescent="0.3">
      <c r="A91">
        <v>90</v>
      </c>
      <c r="B91">
        <v>24</v>
      </c>
      <c r="C91" s="8">
        <v>46207</v>
      </c>
      <c r="D91" s="9">
        <v>0.5</v>
      </c>
      <c r="E91" s="9">
        <v>0.70833333333333326</v>
      </c>
      <c r="F91" s="9">
        <v>0.5</v>
      </c>
      <c r="G91" s="9">
        <v>0.5</v>
      </c>
      <c r="H91" s="9">
        <v>0.75</v>
      </c>
      <c r="I91" t="s">
        <v>271</v>
      </c>
      <c r="J91" t="s">
        <v>30</v>
      </c>
      <c r="K91" t="s">
        <v>444</v>
      </c>
      <c r="L91" t="s">
        <v>444</v>
      </c>
      <c r="M91" t="s">
        <v>445</v>
      </c>
      <c r="N91" t="s">
        <v>445</v>
      </c>
      <c r="O91" t="s">
        <v>446</v>
      </c>
      <c r="P91" t="s">
        <v>274</v>
      </c>
    </row>
    <row r="92" spans="1:16" x14ac:dyDescent="0.3">
      <c r="A92">
        <v>91</v>
      </c>
      <c r="B92">
        <v>25</v>
      </c>
      <c r="C92" s="8">
        <v>46208</v>
      </c>
      <c r="D92" s="9">
        <v>0.66666666666666663</v>
      </c>
      <c r="E92" s="9">
        <v>0.83333333333333326</v>
      </c>
      <c r="F92" s="9">
        <v>0.625</v>
      </c>
      <c r="G92" s="9">
        <v>0.625</v>
      </c>
      <c r="H92" s="9">
        <v>0.875</v>
      </c>
      <c r="I92" t="s">
        <v>234</v>
      </c>
      <c r="J92" t="s">
        <v>30</v>
      </c>
      <c r="K92" t="s">
        <v>447</v>
      </c>
      <c r="L92" t="s">
        <v>447</v>
      </c>
      <c r="M92" t="s">
        <v>448</v>
      </c>
      <c r="N92" t="s">
        <v>448</v>
      </c>
      <c r="O92" t="s">
        <v>449</v>
      </c>
      <c r="P92" t="s">
        <v>262</v>
      </c>
    </row>
    <row r="93" spans="1:16" x14ac:dyDescent="0.3">
      <c r="A93">
        <v>92</v>
      </c>
      <c r="B93">
        <v>25</v>
      </c>
      <c r="C93" s="8">
        <v>46208</v>
      </c>
      <c r="D93" s="9">
        <v>0.75</v>
      </c>
      <c r="E93" s="9">
        <v>0</v>
      </c>
      <c r="F93" s="9">
        <v>0.79166666666666663</v>
      </c>
      <c r="G93" s="9">
        <v>0.79166666666666663</v>
      </c>
      <c r="H93" s="9">
        <v>4.1666666666666664E-2</v>
      </c>
      <c r="I93" t="s">
        <v>221</v>
      </c>
      <c r="J93" t="s">
        <v>91</v>
      </c>
      <c r="K93" t="s">
        <v>450</v>
      </c>
      <c r="L93" t="s">
        <v>450</v>
      </c>
      <c r="M93" t="s">
        <v>451</v>
      </c>
      <c r="N93" t="s">
        <v>451</v>
      </c>
      <c r="O93" t="s">
        <v>452</v>
      </c>
      <c r="P93" t="s">
        <v>227</v>
      </c>
    </row>
    <row r="94" spans="1:16" x14ac:dyDescent="0.3">
      <c r="A94">
        <v>93</v>
      </c>
      <c r="B94">
        <v>26</v>
      </c>
      <c r="C94" s="8">
        <v>46209</v>
      </c>
      <c r="D94" s="9">
        <v>0.58333333333333326</v>
      </c>
      <c r="E94" s="9">
        <v>0.79166666666666663</v>
      </c>
      <c r="F94" s="9">
        <v>0.58333333333333326</v>
      </c>
      <c r="G94" s="9">
        <v>0.58333333333333326</v>
      </c>
      <c r="H94" s="9">
        <v>0.83333333333333326</v>
      </c>
      <c r="I94" t="s">
        <v>271</v>
      </c>
      <c r="J94" t="s">
        <v>30</v>
      </c>
      <c r="K94" t="s">
        <v>453</v>
      </c>
      <c r="L94" t="s">
        <v>453</v>
      </c>
      <c r="M94" t="s">
        <v>454</v>
      </c>
      <c r="N94" t="s">
        <v>454</v>
      </c>
      <c r="O94" t="s">
        <v>455</v>
      </c>
      <c r="P94" t="s">
        <v>277</v>
      </c>
    </row>
    <row r="95" spans="1:16" x14ac:dyDescent="0.3">
      <c r="A95">
        <v>94</v>
      </c>
      <c r="B95">
        <v>26</v>
      </c>
      <c r="C95" s="8">
        <v>46209</v>
      </c>
      <c r="D95" s="9">
        <v>0.70833333333333326</v>
      </c>
      <c r="E95" s="9">
        <v>0</v>
      </c>
      <c r="F95" s="9">
        <v>0.79166666666666663</v>
      </c>
      <c r="G95" s="9">
        <v>0.79166666666666663</v>
      </c>
      <c r="H95" s="9">
        <v>4.1666666666666664E-2</v>
      </c>
      <c r="I95" t="s">
        <v>241</v>
      </c>
      <c r="J95" t="s">
        <v>91</v>
      </c>
      <c r="K95" t="s">
        <v>456</v>
      </c>
      <c r="L95" t="s">
        <v>456</v>
      </c>
      <c r="M95" t="s">
        <v>457</v>
      </c>
      <c r="N95" t="s">
        <v>457</v>
      </c>
      <c r="O95" t="s">
        <v>458</v>
      </c>
      <c r="P95" t="s">
        <v>303</v>
      </c>
    </row>
    <row r="96" spans="1:16" x14ac:dyDescent="0.3">
      <c r="A96">
        <v>95</v>
      </c>
      <c r="B96">
        <v>27</v>
      </c>
      <c r="C96" s="8">
        <v>46210</v>
      </c>
      <c r="D96" s="9">
        <v>0.5</v>
      </c>
      <c r="E96" s="9">
        <v>0.66666666666666663</v>
      </c>
      <c r="F96" s="9">
        <v>0.45833333333333331</v>
      </c>
      <c r="G96" s="9">
        <v>0.45833333333333331</v>
      </c>
      <c r="H96" s="9">
        <v>0.70833333333333326</v>
      </c>
      <c r="I96" t="s">
        <v>234</v>
      </c>
      <c r="J96" t="s">
        <v>30</v>
      </c>
      <c r="K96" t="s">
        <v>459</v>
      </c>
      <c r="L96" t="s">
        <v>459</v>
      </c>
      <c r="M96" t="s">
        <v>460</v>
      </c>
      <c r="N96" t="s">
        <v>460</v>
      </c>
      <c r="O96" t="s">
        <v>461</v>
      </c>
      <c r="P96" t="s">
        <v>292</v>
      </c>
    </row>
    <row r="97" spans="1:16" x14ac:dyDescent="0.3">
      <c r="A97">
        <v>96</v>
      </c>
      <c r="B97">
        <v>27</v>
      </c>
      <c r="C97" s="8">
        <v>46210</v>
      </c>
      <c r="D97" s="9">
        <v>0.54166666666666663</v>
      </c>
      <c r="E97" s="9">
        <v>0.83333333333333326</v>
      </c>
      <c r="F97" s="9">
        <v>0.625</v>
      </c>
      <c r="G97" s="9">
        <v>0.625</v>
      </c>
      <c r="H97" s="9">
        <v>0.875</v>
      </c>
      <c r="I97" t="s">
        <v>241</v>
      </c>
      <c r="J97" t="s">
        <v>91</v>
      </c>
      <c r="K97" t="s">
        <v>462</v>
      </c>
      <c r="L97" t="s">
        <v>462</v>
      </c>
      <c r="M97" t="s">
        <v>463</v>
      </c>
      <c r="N97" t="s">
        <v>463</v>
      </c>
      <c r="O97" t="s">
        <v>464</v>
      </c>
      <c r="P97" t="s">
        <v>257</v>
      </c>
    </row>
    <row r="98" spans="1:16" x14ac:dyDescent="0.3">
      <c r="A98">
        <v>97</v>
      </c>
      <c r="B98">
        <v>28</v>
      </c>
      <c r="C98" s="8">
        <v>46212</v>
      </c>
      <c r="D98" s="9">
        <v>0.66666666666666663</v>
      </c>
      <c r="E98" s="9">
        <v>0.83333333333333326</v>
      </c>
      <c r="F98" s="9">
        <v>0.625</v>
      </c>
      <c r="G98" s="9">
        <v>0.625</v>
      </c>
      <c r="H98" s="9">
        <v>0.875</v>
      </c>
      <c r="I98" t="s">
        <v>234</v>
      </c>
      <c r="J98" t="s">
        <v>30</v>
      </c>
      <c r="K98" t="s">
        <v>465</v>
      </c>
      <c r="L98" t="s">
        <v>465</v>
      </c>
      <c r="M98" t="s">
        <v>466</v>
      </c>
      <c r="N98" t="s">
        <v>466</v>
      </c>
      <c r="O98" t="s">
        <v>467</v>
      </c>
      <c r="P98" t="s">
        <v>252</v>
      </c>
    </row>
    <row r="99" spans="1:16" x14ac:dyDescent="0.3">
      <c r="A99">
        <v>98</v>
      </c>
      <c r="B99">
        <v>29</v>
      </c>
      <c r="C99" s="8">
        <v>46213</v>
      </c>
      <c r="D99" s="9">
        <v>0.5</v>
      </c>
      <c r="E99" s="9">
        <v>0.79166666666666663</v>
      </c>
      <c r="F99" s="9">
        <v>0.58333333333333326</v>
      </c>
      <c r="G99" s="9">
        <v>0.58333333333333326</v>
      </c>
      <c r="H99" s="9">
        <v>0.83333333333333326</v>
      </c>
      <c r="I99" t="s">
        <v>241</v>
      </c>
      <c r="J99" t="s">
        <v>30</v>
      </c>
      <c r="K99" t="s">
        <v>468</v>
      </c>
      <c r="L99" t="s">
        <v>468</v>
      </c>
      <c r="M99" t="s">
        <v>469</v>
      </c>
      <c r="N99" t="s">
        <v>469</v>
      </c>
      <c r="O99" t="s">
        <v>470</v>
      </c>
      <c r="P99" t="s">
        <v>247</v>
      </c>
    </row>
    <row r="100" spans="1:16" x14ac:dyDescent="0.3">
      <c r="A100">
        <v>99</v>
      </c>
      <c r="B100">
        <v>30</v>
      </c>
      <c r="C100" s="8">
        <v>46214</v>
      </c>
      <c r="D100" s="9">
        <v>0.70833333333333326</v>
      </c>
      <c r="E100" s="9">
        <v>0.875</v>
      </c>
      <c r="F100" s="9">
        <v>0.66666666666666663</v>
      </c>
      <c r="G100" s="9">
        <v>0.66666666666666663</v>
      </c>
      <c r="H100" s="9">
        <v>0.91666666666666663</v>
      </c>
      <c r="I100" t="s">
        <v>234</v>
      </c>
      <c r="J100" t="s">
        <v>30</v>
      </c>
      <c r="K100" t="s">
        <v>471</v>
      </c>
      <c r="L100" t="s">
        <v>471</v>
      </c>
      <c r="M100" t="s">
        <v>472</v>
      </c>
      <c r="N100" t="s">
        <v>472</v>
      </c>
      <c r="O100" t="s">
        <v>473</v>
      </c>
      <c r="P100" t="s">
        <v>286</v>
      </c>
    </row>
    <row r="101" spans="1:16" x14ac:dyDescent="0.3">
      <c r="A101">
        <v>100</v>
      </c>
      <c r="B101">
        <v>30</v>
      </c>
      <c r="C101" s="8">
        <v>46214</v>
      </c>
      <c r="D101" s="9">
        <v>0.83333333333333326</v>
      </c>
      <c r="E101" s="9">
        <v>4.1666666666666664E-2</v>
      </c>
      <c r="F101" s="9">
        <v>0.83333333333333326</v>
      </c>
      <c r="G101" s="9">
        <v>0.83333333333333326</v>
      </c>
      <c r="H101" s="9">
        <v>8.3333333333333329E-2</v>
      </c>
      <c r="I101" t="s">
        <v>271</v>
      </c>
      <c r="J101" t="s">
        <v>91</v>
      </c>
      <c r="K101" t="s">
        <v>474</v>
      </c>
      <c r="L101" t="s">
        <v>474</v>
      </c>
      <c r="M101" t="s">
        <v>475</v>
      </c>
      <c r="N101" t="s">
        <v>475</v>
      </c>
      <c r="O101" t="s">
        <v>476</v>
      </c>
      <c r="P101" t="s">
        <v>319</v>
      </c>
    </row>
    <row r="102" spans="1:16" x14ac:dyDescent="0.3">
      <c r="A102">
        <v>101</v>
      </c>
      <c r="B102">
        <v>31</v>
      </c>
      <c r="C102" s="8">
        <v>46217</v>
      </c>
      <c r="D102" s="9">
        <v>0.58333333333333326</v>
      </c>
      <c r="E102" s="9">
        <v>0.79166666666666663</v>
      </c>
      <c r="F102" s="9">
        <v>0.58333333333333326</v>
      </c>
      <c r="G102" s="9">
        <v>0.58333333333333326</v>
      </c>
      <c r="H102" s="9">
        <v>0.83333333333333326</v>
      </c>
      <c r="I102" t="s">
        <v>271</v>
      </c>
      <c r="J102" t="s">
        <v>30</v>
      </c>
      <c r="K102" t="s">
        <v>477</v>
      </c>
      <c r="L102" t="s">
        <v>477</v>
      </c>
      <c r="M102" t="s">
        <v>478</v>
      </c>
      <c r="N102" t="s">
        <v>478</v>
      </c>
      <c r="O102" t="s">
        <v>479</v>
      </c>
      <c r="P102" t="s">
        <v>277</v>
      </c>
    </row>
    <row r="103" spans="1:16" x14ac:dyDescent="0.3">
      <c r="A103">
        <v>102</v>
      </c>
      <c r="B103">
        <v>32</v>
      </c>
      <c r="C103" s="8">
        <v>46218</v>
      </c>
      <c r="D103" s="9">
        <v>0.625</v>
      </c>
      <c r="E103" s="9">
        <v>0.79166666666666663</v>
      </c>
      <c r="F103" s="9">
        <v>0.58333333333333326</v>
      </c>
      <c r="G103" s="9">
        <v>0.58333333333333326</v>
      </c>
      <c r="H103" s="9">
        <v>0.83333333333333326</v>
      </c>
      <c r="I103" t="s">
        <v>234</v>
      </c>
      <c r="J103" t="s">
        <v>30</v>
      </c>
      <c r="K103" t="s">
        <v>480</v>
      </c>
      <c r="L103" t="s">
        <v>480</v>
      </c>
      <c r="M103" t="s">
        <v>481</v>
      </c>
      <c r="N103" t="s">
        <v>481</v>
      </c>
      <c r="O103" t="s">
        <v>482</v>
      </c>
      <c r="P103" t="s">
        <v>292</v>
      </c>
    </row>
    <row r="104" spans="1:16" x14ac:dyDescent="0.3">
      <c r="A104">
        <v>103</v>
      </c>
      <c r="B104">
        <v>33</v>
      </c>
      <c r="C104" s="8">
        <v>46221</v>
      </c>
      <c r="D104" s="9">
        <v>0.70833333333333326</v>
      </c>
      <c r="E104" s="9">
        <v>0.875</v>
      </c>
      <c r="F104" s="9">
        <v>0.66666666666666663</v>
      </c>
      <c r="G104" s="9">
        <v>0.66666666666666663</v>
      </c>
      <c r="H104" s="9">
        <v>0.91666666666666663</v>
      </c>
      <c r="I104" t="s">
        <v>234</v>
      </c>
      <c r="J104" t="s">
        <v>30</v>
      </c>
      <c r="K104" t="s">
        <v>483</v>
      </c>
      <c r="L104" t="s">
        <v>483</v>
      </c>
      <c r="M104" t="s">
        <v>484</v>
      </c>
      <c r="N104" t="s">
        <v>484</v>
      </c>
      <c r="O104" t="s">
        <v>485</v>
      </c>
      <c r="P104" t="s">
        <v>286</v>
      </c>
    </row>
    <row r="105" spans="1:16" x14ac:dyDescent="0.3">
      <c r="A105">
        <v>104</v>
      </c>
      <c r="B105">
        <v>34</v>
      </c>
      <c r="C105" s="8">
        <v>46222</v>
      </c>
      <c r="D105" s="9">
        <v>0.625</v>
      </c>
      <c r="E105" s="9">
        <v>0.79166666666666663</v>
      </c>
      <c r="F105" s="9">
        <v>0.58333333333333326</v>
      </c>
      <c r="G105" s="9">
        <v>0.58333333333333326</v>
      </c>
      <c r="H105" s="9">
        <v>0.83333333333333326</v>
      </c>
      <c r="I105" t="s">
        <v>234</v>
      </c>
      <c r="J105" t="s">
        <v>30</v>
      </c>
      <c r="K105" t="s">
        <v>486</v>
      </c>
      <c r="L105" t="s">
        <v>486</v>
      </c>
      <c r="M105" t="s">
        <v>487</v>
      </c>
      <c r="N105" t="s">
        <v>487</v>
      </c>
      <c r="O105" t="s">
        <v>488</v>
      </c>
      <c r="P105" t="s">
        <v>262</v>
      </c>
    </row>
  </sheetData>
  <protectedRanges>
    <protectedRange sqref="Q2:T13" name="MD1"/>
  </protectedRange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50F3-61D1-734E-9F6A-ABE71A0E63A3}">
  <sheetPr>
    <tabColor rgb="FFFFC000"/>
  </sheetPr>
  <dimension ref="A1:K9"/>
  <sheetViews>
    <sheetView workbookViewId="0">
      <selection activeCell="A4" sqref="A4:B4"/>
    </sheetView>
  </sheetViews>
  <sheetFormatPr defaultColWidth="11" defaultRowHeight="15.6" x14ac:dyDescent="0.3"/>
  <cols>
    <col min="1" max="1" width="18.3984375" bestFit="1" customWidth="1"/>
    <col min="2" max="5" width="18.3984375" customWidth="1"/>
    <col min="6" max="7" width="13.09765625" style="1" customWidth="1"/>
    <col min="8" max="8" width="13.09765625" style="17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s="1" t="s">
        <v>5</v>
      </c>
      <c r="G1" s="1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492</v>
      </c>
      <c r="B2" t="s">
        <v>20</v>
      </c>
      <c r="C2" t="s">
        <v>30</v>
      </c>
      <c r="D2" t="e">
        <f>#REF!</f>
        <v>#REF!</v>
      </c>
      <c r="E2" s="10" t="e" cm="1">
        <f t="array" ref="E2">_xlfn.IFS(GENERAL_A[[#This Row],[reference wisle]]="KO",#REF!+(GENERAL_A[[#This Row],[Time to KO]]/1440),GENERAL_A[[#This Row],[reference wisle]]="FW",#REF!+(GENERAL_A[[#This Row],[Time to KO]]/1440),GENERAL_A[[#This Row],[reference wisle]]="EOD","End of Day")</f>
        <v>#REF!</v>
      </c>
      <c r="F2" s="1">
        <f>GENERAL_A[[#This Row],[time value]]*GENERAL_A[[#This Row],[multiplicator]]</f>
        <v>-240</v>
      </c>
      <c r="G2" s="11">
        <v>-1</v>
      </c>
      <c r="H2" s="11">
        <v>240</v>
      </c>
      <c r="I2" s="14" t="s">
        <v>202</v>
      </c>
      <c r="J2" t="s">
        <v>32</v>
      </c>
      <c r="K2" t="s">
        <v>19</v>
      </c>
    </row>
    <row r="3" spans="1:11" x14ac:dyDescent="0.3">
      <c r="A3" t="s">
        <v>492</v>
      </c>
      <c r="B3" t="s">
        <v>2</v>
      </c>
      <c r="C3" t="s">
        <v>30</v>
      </c>
      <c r="D3" t="e">
        <f>#REF!</f>
        <v>#REF!</v>
      </c>
      <c r="E3" s="10" t="e" cm="1">
        <f t="array" ref="E3">_xlfn.IFS(GENERAL_A[[#This Row],[reference wisle]]="KO",#REF!+(GENERAL_A[[#This Row],[Time to KO]]/1440),GENERAL_A[[#This Row],[reference wisle]]="FW",#REF!+(GENERAL_A[[#This Row],[Time to KO]]/1440),GENERAL_A[[#This Row],[reference wisle]]="EOD","End of Day")</f>
        <v>#REF!</v>
      </c>
      <c r="F3" s="1">
        <f>GENERAL_A[[#This Row],[time value]]*GENERAL_A[[#This Row],[multiplicator]]</f>
        <v>-240</v>
      </c>
      <c r="G3" s="1">
        <v>-1</v>
      </c>
      <c r="H3" s="17">
        <v>240</v>
      </c>
      <c r="I3" s="15" t="s">
        <v>202</v>
      </c>
      <c r="J3" t="s">
        <v>32</v>
      </c>
      <c r="K3" t="s">
        <v>19</v>
      </c>
    </row>
    <row r="4" spans="1:11" x14ac:dyDescent="0.3">
      <c r="A4" t="s">
        <v>493</v>
      </c>
      <c r="B4" t="s">
        <v>20</v>
      </c>
      <c r="C4" t="s">
        <v>30</v>
      </c>
      <c r="D4" t="e">
        <f>#REF!</f>
        <v>#REF!</v>
      </c>
      <c r="E4" s="10" t="e" cm="1">
        <f t="array" ref="E4">_xlfn.IFS(GENERAL_A[[#This Row],[reference wisle]]="KO",#REF!+(GENERAL_A[[#This Row],[Time to KO]]/1440),GENERAL_A[[#This Row],[reference wisle]]="FW",#REF!+(GENERAL_A[[#This Row],[Time to KO]]/1440),GENERAL_A[[#This Row],[reference wisle]]="EOD","End of Day")</f>
        <v>#REF!</v>
      </c>
      <c r="F4" s="1">
        <f>GENERAL_A[[#This Row],[time value]]*GENERAL_A[[#This Row],[multiplicator]]</f>
        <v>-200</v>
      </c>
      <c r="G4" s="1">
        <v>-1</v>
      </c>
      <c r="H4" s="17">
        <v>200</v>
      </c>
      <c r="I4" s="16" t="s">
        <v>202</v>
      </c>
      <c r="J4" t="s">
        <v>34</v>
      </c>
      <c r="K4" t="s">
        <v>19</v>
      </c>
    </row>
    <row r="5" spans="1:11" x14ac:dyDescent="0.3">
      <c r="A5" t="s">
        <v>493</v>
      </c>
      <c r="B5" t="s">
        <v>20</v>
      </c>
      <c r="C5" t="s">
        <v>30</v>
      </c>
      <c r="D5" t="e">
        <f>#REF!</f>
        <v>#REF!</v>
      </c>
      <c r="E5" s="10" t="e" cm="1">
        <f t="array" ref="E5">_xlfn.IFS(GENERAL_A[[#This Row],[reference wisle]]="KO",#REF!+(GENERAL_A[[#This Row],[Time to KO]]/1440),GENERAL_A[[#This Row],[reference wisle]]="FW",#REF!+(GENERAL_A[[#This Row],[Time to KO]]/1440),GENERAL_A[[#This Row],[reference wisle]]="EOD","End of Day")</f>
        <v>#REF!</v>
      </c>
      <c r="F5" s="1">
        <f>GENERAL_A[[#This Row],[time value]]*GENERAL_A[[#This Row],[multiplicator]]</f>
        <v>85</v>
      </c>
      <c r="G5">
        <v>1</v>
      </c>
      <c r="H5" s="17">
        <v>85</v>
      </c>
      <c r="I5" s="15" t="s">
        <v>494</v>
      </c>
      <c r="J5" s="25" t="s">
        <v>495</v>
      </c>
      <c r="K5" t="s">
        <v>19</v>
      </c>
    </row>
    <row r="6" spans="1:11" x14ac:dyDescent="0.3">
      <c r="A6" t="s">
        <v>493</v>
      </c>
      <c r="B6" t="s">
        <v>20</v>
      </c>
      <c r="C6" t="s">
        <v>30</v>
      </c>
      <c r="D6" t="e">
        <f>#REF!</f>
        <v>#REF!</v>
      </c>
      <c r="E6" s="10" t="e" cm="1">
        <f t="array" ref="E6">_xlfn.IFS(GENERAL_A[[#This Row],[reference wisle]]="KO",#REF!+(GENERAL_A[[#This Row],[Time to KO]]/1440),GENERAL_A[[#This Row],[reference wisle]]="FW",#REF!+(GENERAL_A[[#This Row],[Time to KO]]/1440),GENERAL_A[[#This Row],[reference wisle]]="EOD","End of Day")</f>
        <v>#REF!</v>
      </c>
      <c r="F6" s="1">
        <f>GENERAL_A[[#This Row],[time value]]*GENERAL_A[[#This Row],[multiplicator]]</f>
        <v>75</v>
      </c>
      <c r="G6">
        <v>1</v>
      </c>
      <c r="H6" s="17">
        <v>75</v>
      </c>
      <c r="I6" s="15" t="s">
        <v>494</v>
      </c>
      <c r="J6" s="25" t="s">
        <v>496</v>
      </c>
      <c r="K6" t="s">
        <v>19</v>
      </c>
    </row>
    <row r="7" spans="1:11" x14ac:dyDescent="0.3">
      <c r="A7" t="s">
        <v>497</v>
      </c>
      <c r="B7" t="s">
        <v>20</v>
      </c>
      <c r="C7" t="s">
        <v>30</v>
      </c>
      <c r="D7" t="e">
        <f>#REF!</f>
        <v>#REF!</v>
      </c>
      <c r="E7" s="10" t="e" cm="1">
        <f t="array" ref="E7">_xlfn.IFS(GENERAL_A[[#This Row],[reference wisle]]="KO",#REF!+(GENERAL_A[[#This Row],[Time to KO]]/1440),GENERAL_A[[#This Row],[reference wisle]]="FW",#REF!+(GENERAL_A[[#This Row],[Time to KO]]/1440),GENERAL_A[[#This Row],[reference wisle]]="EOD","End of Day")</f>
        <v>#REF!</v>
      </c>
      <c r="F7" s="1">
        <f>GENERAL_A[[#This Row],[time value]]*GENERAL_A[[#This Row],[multiplicator]]</f>
        <v>-150</v>
      </c>
      <c r="G7">
        <v>-1</v>
      </c>
      <c r="H7" s="17">
        <v>150</v>
      </c>
      <c r="I7" s="15" t="s">
        <v>202</v>
      </c>
      <c r="J7" t="s">
        <v>54</v>
      </c>
      <c r="K7" t="s">
        <v>55</v>
      </c>
    </row>
    <row r="8" spans="1:11" x14ac:dyDescent="0.3">
      <c r="A8" t="s">
        <v>498</v>
      </c>
      <c r="B8" t="s">
        <v>20</v>
      </c>
      <c r="C8" t="s">
        <v>30</v>
      </c>
      <c r="D8" t="e">
        <f>#REF!</f>
        <v>#REF!</v>
      </c>
      <c r="E8" s="10" t="str" cm="1">
        <f t="array" ref="E8">_xlfn.IFS(GENERAL_A[[#This Row],[reference wisle]]="KO",#REF!+(GENERAL_A[[#This Row],[Time to KO]]/1440),GENERAL_A[[#This Row],[reference wisle]]="FW",#REF!+(GENERAL_A[[#This Row],[Time to KO]]/1440),GENERAL_A[[#This Row],[reference wisle]]="EOD","End of Day")</f>
        <v>End of Day</v>
      </c>
      <c r="F8" s="1" t="e">
        <f>GENERAL_A[[#This Row],[time value]]*GENERAL_A[[#This Row],[multiplicator]]</f>
        <v>#VALUE!</v>
      </c>
      <c r="G8"/>
      <c r="H8" s="17" t="s">
        <v>499</v>
      </c>
      <c r="I8" s="15" t="s">
        <v>499</v>
      </c>
      <c r="J8" t="s">
        <v>172</v>
      </c>
      <c r="K8" t="s">
        <v>173</v>
      </c>
    </row>
    <row r="9" spans="1:11" x14ac:dyDescent="0.3">
      <c r="A9" t="s">
        <v>498</v>
      </c>
      <c r="B9" t="s">
        <v>20</v>
      </c>
      <c r="C9" t="s">
        <v>30</v>
      </c>
      <c r="D9" t="e">
        <f>#REF!</f>
        <v>#REF!</v>
      </c>
      <c r="E9" s="10" t="str" cm="1">
        <f t="array" ref="E9">_xlfn.IFS(GENERAL_A[[#This Row],[reference wisle]]="KO",#REF!+(GENERAL_A[[#This Row],[Time to KO]]/1440),GENERAL_A[[#This Row],[reference wisle]]="FW",#REF!+(GENERAL_A[[#This Row],[Time to KO]]/1440),GENERAL_A[[#This Row],[reference wisle]]="EOD","End of Day")</f>
        <v>End of Day</v>
      </c>
      <c r="F9" s="1" t="e">
        <f>GENERAL_A[[#This Row],[time value]]*GENERAL_A[[#This Row],[multiplicator]]</f>
        <v>#VALUE!</v>
      </c>
      <c r="G9" s="2"/>
      <c r="H9" s="19" t="s">
        <v>499</v>
      </c>
      <c r="I9" s="14" t="s">
        <v>499</v>
      </c>
      <c r="J9" s="2" t="s">
        <v>174</v>
      </c>
      <c r="K9" t="s">
        <v>175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642D-B66B-914D-9E0B-14E049128DC4}">
  <sheetPr>
    <tabColor rgb="FFFFC000"/>
  </sheetPr>
  <dimension ref="A1:K9"/>
  <sheetViews>
    <sheetView workbookViewId="0">
      <selection activeCell="H7" sqref="H7"/>
    </sheetView>
  </sheetViews>
  <sheetFormatPr defaultColWidth="11" defaultRowHeight="15.6" x14ac:dyDescent="0.3"/>
  <cols>
    <col min="1" max="1" width="18.3984375" bestFit="1" customWidth="1"/>
    <col min="2" max="5" width="18.3984375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s="1" t="s">
        <v>5</v>
      </c>
      <c r="G1" s="1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492</v>
      </c>
      <c r="B2" t="s">
        <v>20</v>
      </c>
      <c r="C2" t="s">
        <v>91</v>
      </c>
      <c r="D2" t="e">
        <f>#REF!</f>
        <v>#REF!</v>
      </c>
      <c r="E2" s="10" t="e" cm="1">
        <f t="array" ref="E2">_xlfn.IFS(GENERAL_B[[#This Row],[reference wisle]]="KO",#REF!+(GENERAL_B[[#This Row],[Time to KO]]/1440),GENERAL_B[[#This Row],[reference wisle]]="FW",#REF!+(GENERAL_B[[#This Row],[Time to KO]]/1440),GENERAL_B[[#This Row],[reference wisle]]="EOD","End of Day")</f>
        <v>#REF!</v>
      </c>
      <c r="F2" s="1">
        <f>GENERAL_B[[#This Row],[time value]]*GENERAL_B[[#This Row],[multiplicator]]</f>
        <v>-240</v>
      </c>
      <c r="G2" s="17">
        <v>-1</v>
      </c>
      <c r="H2" s="17">
        <v>240</v>
      </c>
      <c r="I2" s="15" t="s">
        <v>202</v>
      </c>
      <c r="J2" t="s">
        <v>32</v>
      </c>
      <c r="K2" t="s">
        <v>19</v>
      </c>
    </row>
    <row r="3" spans="1:11" x14ac:dyDescent="0.3">
      <c r="A3" t="s">
        <v>492</v>
      </c>
      <c r="B3" t="s">
        <v>2</v>
      </c>
      <c r="C3" t="s">
        <v>91</v>
      </c>
      <c r="D3" t="e">
        <f>#REF!</f>
        <v>#REF!</v>
      </c>
      <c r="E3" s="10" t="e" cm="1">
        <f t="array" ref="E3">_xlfn.IFS(GENERAL_B[[#This Row],[reference wisle]]="KO",#REF!+(GENERAL_B[[#This Row],[Time to KO]]/1440),GENERAL_B[[#This Row],[reference wisle]]="FW",#REF!+(GENERAL_B[[#This Row],[Time to KO]]/1440),GENERAL_B[[#This Row],[reference wisle]]="EOD","End of Day")</f>
        <v>#REF!</v>
      </c>
      <c r="F3" s="1">
        <f>GENERAL_B[[#This Row],[time value]]*GENERAL_B[[#This Row],[multiplicator]]</f>
        <v>-240</v>
      </c>
      <c r="G3" s="1">
        <v>-1</v>
      </c>
      <c r="H3" s="17">
        <v>240</v>
      </c>
      <c r="I3" s="15" t="s">
        <v>202</v>
      </c>
      <c r="J3" t="s">
        <v>32</v>
      </c>
      <c r="K3" t="s">
        <v>19</v>
      </c>
    </row>
    <row r="4" spans="1:11" x14ac:dyDescent="0.3">
      <c r="A4" t="s">
        <v>493</v>
      </c>
      <c r="B4" t="s">
        <v>20</v>
      </c>
      <c r="C4" t="s">
        <v>91</v>
      </c>
      <c r="D4" t="e">
        <f>#REF!</f>
        <v>#REF!</v>
      </c>
      <c r="E4" s="10" t="e" cm="1">
        <f t="array" ref="E4">_xlfn.IFS(GENERAL_B[[#This Row],[reference wisle]]="KO",#REF!+(GENERAL_B[[#This Row],[Time to KO]]/1440),GENERAL_B[[#This Row],[reference wisle]]="FW",#REF!+(GENERAL_B[[#This Row],[Time to KO]]/1440),GENERAL_B[[#This Row],[reference wisle]]="EOD","End of Day")</f>
        <v>#REF!</v>
      </c>
      <c r="F4" s="1">
        <f>GENERAL_B[[#This Row],[time value]]*GENERAL_B[[#This Row],[multiplicator]]</f>
        <v>-200</v>
      </c>
      <c r="G4" s="1">
        <v>-1</v>
      </c>
      <c r="H4" s="17">
        <v>200</v>
      </c>
      <c r="I4" s="16" t="s">
        <v>202</v>
      </c>
      <c r="J4" t="s">
        <v>34</v>
      </c>
      <c r="K4" t="s">
        <v>19</v>
      </c>
    </row>
    <row r="5" spans="1:11" x14ac:dyDescent="0.3">
      <c r="A5" t="s">
        <v>493</v>
      </c>
      <c r="B5" t="s">
        <v>20</v>
      </c>
      <c r="C5" t="s">
        <v>91</v>
      </c>
      <c r="D5" t="e">
        <f>#REF!</f>
        <v>#REF!</v>
      </c>
      <c r="E5" s="10" t="e" cm="1">
        <f t="array" ref="E5">_xlfn.IFS(GENERAL_B[[#This Row],[reference wisle]]="KO",#REF!+(GENERAL_B[[#This Row],[Time to KO]]/1440),GENERAL_B[[#This Row],[reference wisle]]="FW",#REF!+(GENERAL_B[[#This Row],[Time to KO]]/1440),GENERAL_B[[#This Row],[reference wisle]]="EOD","End of Day")</f>
        <v>#REF!</v>
      </c>
      <c r="F5" s="1">
        <f>GENERAL_B[[#This Row],[time value]]*GENERAL_B[[#This Row],[multiplicator]]</f>
        <v>85</v>
      </c>
      <c r="G5">
        <v>1</v>
      </c>
      <c r="H5" s="17">
        <v>85</v>
      </c>
      <c r="I5" s="15" t="s">
        <v>494</v>
      </c>
      <c r="J5" s="25" t="s">
        <v>495</v>
      </c>
      <c r="K5" t="s">
        <v>19</v>
      </c>
    </row>
    <row r="6" spans="1:11" x14ac:dyDescent="0.3">
      <c r="A6" t="s">
        <v>493</v>
      </c>
      <c r="B6" t="s">
        <v>20</v>
      </c>
      <c r="C6" t="s">
        <v>91</v>
      </c>
      <c r="D6" t="e">
        <f>#REF!</f>
        <v>#REF!</v>
      </c>
      <c r="E6" s="10" t="e" cm="1">
        <f t="array" ref="E6">_xlfn.IFS(GENERAL_B[[#This Row],[reference wisle]]="KO",#REF!+(GENERAL_B[[#This Row],[Time to KO]]/1440),GENERAL_B[[#This Row],[reference wisle]]="FW",#REF!+(GENERAL_B[[#This Row],[Time to KO]]/1440),GENERAL_B[[#This Row],[reference wisle]]="EOD","End of Day")</f>
        <v>#REF!</v>
      </c>
      <c r="F6" s="1">
        <f>GENERAL_B[[#This Row],[time value]]*GENERAL_B[[#This Row],[multiplicator]]</f>
        <v>75</v>
      </c>
      <c r="G6">
        <v>1</v>
      </c>
      <c r="H6" s="17">
        <v>75</v>
      </c>
      <c r="I6" s="15" t="s">
        <v>494</v>
      </c>
      <c r="J6" s="25" t="s">
        <v>496</v>
      </c>
      <c r="K6" t="s">
        <v>19</v>
      </c>
    </row>
    <row r="7" spans="1:11" x14ac:dyDescent="0.3">
      <c r="A7" t="s">
        <v>497</v>
      </c>
      <c r="B7" t="s">
        <v>20</v>
      </c>
      <c r="C7" t="s">
        <v>91</v>
      </c>
      <c r="D7" t="e">
        <f>#REF!</f>
        <v>#REF!</v>
      </c>
      <c r="E7" s="10" t="e" cm="1">
        <f t="array" ref="E7">_xlfn.IFS(GENERAL_B[[#This Row],[reference wisle]]="KO",#REF!+(GENERAL_B[[#This Row],[Time to KO]]/1440),GENERAL_B[[#This Row],[reference wisle]]="FW",#REF!+(GENERAL_B[[#This Row],[Time to KO]]/1440),GENERAL_B[[#This Row],[reference wisle]]="EOD","End of Day")</f>
        <v>#REF!</v>
      </c>
      <c r="F7" s="1">
        <f>GENERAL_B[[#This Row],[time value]]*GENERAL_B[[#This Row],[multiplicator]]</f>
        <v>-150</v>
      </c>
      <c r="G7">
        <v>-1</v>
      </c>
      <c r="H7" s="17">
        <v>150</v>
      </c>
      <c r="I7" s="15" t="s">
        <v>202</v>
      </c>
      <c r="J7" t="s">
        <v>54</v>
      </c>
      <c r="K7" t="s">
        <v>55</v>
      </c>
    </row>
    <row r="8" spans="1:11" x14ac:dyDescent="0.3">
      <c r="A8" t="s">
        <v>498</v>
      </c>
      <c r="B8" t="s">
        <v>20</v>
      </c>
      <c r="C8" t="s">
        <v>91</v>
      </c>
      <c r="D8" t="e">
        <f>#REF!</f>
        <v>#REF!</v>
      </c>
      <c r="E8" s="10" t="str" cm="1">
        <f t="array" ref="E8">_xlfn.IFS(GENERAL_B[[#This Row],[reference wisle]]="KO",#REF!+(GENERAL_B[[#This Row],[Time to KO]]/1440),GENERAL_B[[#This Row],[reference wisle]]="FW",#REF!+(GENERAL_B[[#This Row],[Time to KO]]/1440),GENERAL_B[[#This Row],[reference wisle]]="EOD","End of Day")</f>
        <v>End of Day</v>
      </c>
      <c r="F8" s="1" t="e">
        <f>GENERAL_B[[#This Row],[time value]]*GENERAL_B[[#This Row],[multiplicator]]</f>
        <v>#VALUE!</v>
      </c>
      <c r="G8"/>
      <c r="H8" s="17" t="s">
        <v>499</v>
      </c>
      <c r="I8" s="15" t="s">
        <v>499</v>
      </c>
      <c r="J8" t="s">
        <v>172</v>
      </c>
      <c r="K8" t="s">
        <v>173</v>
      </c>
    </row>
    <row r="9" spans="1:11" x14ac:dyDescent="0.3">
      <c r="A9" t="s">
        <v>498</v>
      </c>
      <c r="B9" t="s">
        <v>20</v>
      </c>
      <c r="C9" t="s">
        <v>91</v>
      </c>
      <c r="D9" t="e">
        <f>#REF!</f>
        <v>#REF!</v>
      </c>
      <c r="E9" s="10" t="str" cm="1">
        <f t="array" ref="E9">_xlfn.IFS(GENERAL_B[[#This Row],[reference wisle]]="KO",#REF!+(GENERAL_B[[#This Row],[Time to KO]]/1440),GENERAL_B[[#This Row],[reference wisle]]="FW",#REF!+(GENERAL_B[[#This Row],[Time to KO]]/1440),GENERAL_B[[#This Row],[reference wisle]]="EOD","End of Day")</f>
        <v>End of Day</v>
      </c>
      <c r="F9" s="5" t="e">
        <f>GENERAL_B[[#This Row],[time value]]*GENERAL_B[[#This Row],[multiplicator]]</f>
        <v>#VALUE!</v>
      </c>
      <c r="G9" s="2"/>
      <c r="H9" s="18" t="s">
        <v>499</v>
      </c>
      <c r="I9" s="3" t="s">
        <v>499</v>
      </c>
      <c r="J9" s="2" t="s">
        <v>174</v>
      </c>
      <c r="K9" t="s">
        <v>175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72B0-E760-AC47-8D25-C31FBE032326}">
  <sheetPr>
    <tabColor rgb="FFFFC000"/>
  </sheetPr>
  <dimension ref="A1:K9"/>
  <sheetViews>
    <sheetView workbookViewId="0">
      <selection activeCell="H7" sqref="H7"/>
    </sheetView>
  </sheetViews>
  <sheetFormatPr defaultColWidth="11" defaultRowHeight="15.6" x14ac:dyDescent="0.3"/>
  <cols>
    <col min="1" max="1" width="18.3984375" bestFit="1" customWidth="1"/>
    <col min="2" max="5" width="18.3984375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s="1" t="s">
        <v>5</v>
      </c>
      <c r="G1" s="1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492</v>
      </c>
      <c r="B2" t="s">
        <v>20</v>
      </c>
      <c r="C2" t="s">
        <v>144</v>
      </c>
      <c r="D2" t="e">
        <f>#REF!</f>
        <v>#REF!</v>
      </c>
      <c r="E2" s="10" t="e" cm="1">
        <f t="array" ref="E2">_xlfn.IFS(GENERAL_C[[#This Row],[reference wisle]]="KO",#REF!+(GENERAL_C[[#This Row],[Time to KO]]/1440),GENERAL_C[[#This Row],[reference wisle]]="FW",#REF!+(GENERAL_C[[#This Row],[Time to KO]]/1440),GENERAL_C[[#This Row],[reference wisle]]="EOD","End of Day")</f>
        <v>#REF!</v>
      </c>
      <c r="F2" s="1">
        <f>GENERAL_C[[#This Row],[time value]]*GENERAL_C[[#This Row],[multiplicator]]</f>
        <v>-240</v>
      </c>
      <c r="G2" s="17">
        <v>-1</v>
      </c>
      <c r="H2" s="17">
        <v>240</v>
      </c>
      <c r="I2" s="15" t="s">
        <v>202</v>
      </c>
      <c r="J2" t="s">
        <v>32</v>
      </c>
      <c r="K2" t="s">
        <v>19</v>
      </c>
    </row>
    <row r="3" spans="1:11" x14ac:dyDescent="0.3">
      <c r="A3" t="s">
        <v>492</v>
      </c>
      <c r="B3" t="s">
        <v>2</v>
      </c>
      <c r="C3" t="s">
        <v>144</v>
      </c>
      <c r="D3" t="e">
        <f>#REF!</f>
        <v>#REF!</v>
      </c>
      <c r="E3" s="10" t="e" cm="1">
        <f t="array" ref="E3">_xlfn.IFS(GENERAL_C[[#This Row],[reference wisle]]="KO",#REF!+(GENERAL_C[[#This Row],[Time to KO]]/1440),GENERAL_C[[#This Row],[reference wisle]]="FW",#REF!+(GENERAL_C[[#This Row],[Time to KO]]/1440),GENERAL_C[[#This Row],[reference wisle]]="EOD","End of Day")</f>
        <v>#REF!</v>
      </c>
      <c r="F3" s="1">
        <f>GENERAL_C[[#This Row],[time value]]*GENERAL_C[[#This Row],[multiplicator]]</f>
        <v>-240</v>
      </c>
      <c r="G3" s="1">
        <v>-1</v>
      </c>
      <c r="H3" s="17">
        <v>240</v>
      </c>
      <c r="I3" s="15" t="s">
        <v>202</v>
      </c>
      <c r="J3" t="s">
        <v>32</v>
      </c>
      <c r="K3" t="s">
        <v>19</v>
      </c>
    </row>
    <row r="4" spans="1:11" x14ac:dyDescent="0.3">
      <c r="A4" t="s">
        <v>493</v>
      </c>
      <c r="B4" t="s">
        <v>20</v>
      </c>
      <c r="C4" t="s">
        <v>144</v>
      </c>
      <c r="D4" t="e">
        <f>#REF!</f>
        <v>#REF!</v>
      </c>
      <c r="E4" s="10" t="e" cm="1">
        <f t="array" ref="E4">_xlfn.IFS(GENERAL_C[[#This Row],[reference wisle]]="KO",#REF!+(GENERAL_C[[#This Row],[Time to KO]]/1440),GENERAL_C[[#This Row],[reference wisle]]="FW",#REF!+(GENERAL_C[[#This Row],[Time to KO]]/1440),GENERAL_C[[#This Row],[reference wisle]]="EOD","End of Day")</f>
        <v>#REF!</v>
      </c>
      <c r="F4" s="1">
        <f>GENERAL_C[[#This Row],[time value]]*GENERAL_C[[#This Row],[multiplicator]]</f>
        <v>-200</v>
      </c>
      <c r="G4" s="1">
        <v>-1</v>
      </c>
      <c r="H4" s="17">
        <v>200</v>
      </c>
      <c r="I4" s="16" t="s">
        <v>202</v>
      </c>
      <c r="J4" t="s">
        <v>34</v>
      </c>
      <c r="K4" t="s">
        <v>19</v>
      </c>
    </row>
    <row r="5" spans="1:11" x14ac:dyDescent="0.3">
      <c r="A5" t="s">
        <v>493</v>
      </c>
      <c r="B5" t="s">
        <v>20</v>
      </c>
      <c r="C5" t="s">
        <v>144</v>
      </c>
      <c r="D5" t="e">
        <f>#REF!</f>
        <v>#REF!</v>
      </c>
      <c r="E5" s="10" t="e" cm="1">
        <f t="array" ref="E5">_xlfn.IFS(GENERAL_C[[#This Row],[reference wisle]]="KO",#REF!+(GENERAL_C[[#This Row],[Time to KO]]/1440),GENERAL_C[[#This Row],[reference wisle]]="FW",#REF!+(GENERAL_C[[#This Row],[Time to KO]]/1440),GENERAL_C[[#This Row],[reference wisle]]="EOD","End of Day")</f>
        <v>#REF!</v>
      </c>
      <c r="F5" s="1">
        <f>GENERAL_C[[#This Row],[time value]]*GENERAL_C[[#This Row],[multiplicator]]</f>
        <v>85</v>
      </c>
      <c r="G5">
        <v>1</v>
      </c>
      <c r="H5" s="17">
        <v>85</v>
      </c>
      <c r="I5" s="15" t="s">
        <v>494</v>
      </c>
      <c r="J5" s="25" t="s">
        <v>495</v>
      </c>
      <c r="K5" t="s">
        <v>19</v>
      </c>
    </row>
    <row r="6" spans="1:11" x14ac:dyDescent="0.3">
      <c r="A6" t="s">
        <v>493</v>
      </c>
      <c r="B6" t="s">
        <v>20</v>
      </c>
      <c r="C6" t="s">
        <v>144</v>
      </c>
      <c r="D6" t="e">
        <f>#REF!</f>
        <v>#REF!</v>
      </c>
      <c r="E6" s="10" t="e" cm="1">
        <f t="array" ref="E6">_xlfn.IFS(GENERAL_C[[#This Row],[reference wisle]]="KO",#REF!+(GENERAL_C[[#This Row],[Time to KO]]/1440),GENERAL_C[[#This Row],[reference wisle]]="FW",#REF!+(GENERAL_C[[#This Row],[Time to KO]]/1440),GENERAL_C[[#This Row],[reference wisle]]="EOD","End of Day")</f>
        <v>#REF!</v>
      </c>
      <c r="F6" s="1">
        <f>GENERAL_C[[#This Row],[time value]]*GENERAL_C[[#This Row],[multiplicator]]</f>
        <v>75</v>
      </c>
      <c r="G6">
        <v>1</v>
      </c>
      <c r="H6" s="17">
        <v>75</v>
      </c>
      <c r="I6" s="15" t="s">
        <v>494</v>
      </c>
      <c r="J6" s="25" t="s">
        <v>496</v>
      </c>
      <c r="K6" t="s">
        <v>19</v>
      </c>
    </row>
    <row r="7" spans="1:11" x14ac:dyDescent="0.3">
      <c r="A7" t="s">
        <v>497</v>
      </c>
      <c r="B7" t="s">
        <v>20</v>
      </c>
      <c r="C7" t="s">
        <v>144</v>
      </c>
      <c r="D7" t="e">
        <f>#REF!</f>
        <v>#REF!</v>
      </c>
      <c r="E7" s="10" t="e" cm="1">
        <f t="array" ref="E7">_xlfn.IFS(GENERAL_C[[#This Row],[reference wisle]]="KO",#REF!+(GENERAL_C[[#This Row],[Time to KO]]/1440),GENERAL_C[[#This Row],[reference wisle]]="FW",#REF!+(GENERAL_C[[#This Row],[Time to KO]]/1440),GENERAL_C[[#This Row],[reference wisle]]="EOD","End of Day")</f>
        <v>#REF!</v>
      </c>
      <c r="F7" s="1">
        <f>GENERAL_C[[#This Row],[time value]]*GENERAL_C[[#This Row],[multiplicator]]</f>
        <v>-150</v>
      </c>
      <c r="G7">
        <v>-1</v>
      </c>
      <c r="H7" s="17">
        <v>150</v>
      </c>
      <c r="I7" s="15" t="s">
        <v>202</v>
      </c>
      <c r="J7" t="s">
        <v>54</v>
      </c>
      <c r="K7" t="s">
        <v>55</v>
      </c>
    </row>
    <row r="8" spans="1:11" x14ac:dyDescent="0.3">
      <c r="A8" t="s">
        <v>498</v>
      </c>
      <c r="B8" t="s">
        <v>20</v>
      </c>
      <c r="C8" t="s">
        <v>144</v>
      </c>
      <c r="D8" t="e">
        <f>#REF!</f>
        <v>#REF!</v>
      </c>
      <c r="E8" s="10" t="str" cm="1">
        <f t="array" ref="E8">_xlfn.IFS(GENERAL_C[[#This Row],[reference wisle]]="KO",#REF!+(GENERAL_C[[#This Row],[Time to KO]]/1440),GENERAL_C[[#This Row],[reference wisle]]="FW",#REF!+(GENERAL_C[[#This Row],[Time to KO]]/1440),GENERAL_C[[#This Row],[reference wisle]]="EOD","End of Day")</f>
        <v>End of Day</v>
      </c>
      <c r="F8" s="1" t="e">
        <f>GENERAL_C[[#This Row],[time value]]*GENERAL_C[[#This Row],[multiplicator]]</f>
        <v>#VALUE!</v>
      </c>
      <c r="G8"/>
      <c r="H8" s="17" t="s">
        <v>499</v>
      </c>
      <c r="I8" s="15" t="s">
        <v>499</v>
      </c>
      <c r="J8" t="s">
        <v>172</v>
      </c>
      <c r="K8" t="s">
        <v>173</v>
      </c>
    </row>
    <row r="9" spans="1:11" x14ac:dyDescent="0.3">
      <c r="A9" t="s">
        <v>498</v>
      </c>
      <c r="B9" t="s">
        <v>20</v>
      </c>
      <c r="C9" t="s">
        <v>144</v>
      </c>
      <c r="D9" t="e">
        <f>#REF!</f>
        <v>#REF!</v>
      </c>
      <c r="E9" s="10" t="str" cm="1">
        <f t="array" ref="E9">_xlfn.IFS(GENERAL_C[[#This Row],[reference wisle]]="KO",#REF!+(GENERAL_C[[#This Row],[Time to KO]]/1440),GENERAL_C[[#This Row],[reference wisle]]="FW",#REF!+(GENERAL_C[[#This Row],[Time to KO]]/1440),GENERAL_C[[#This Row],[reference wisle]]="EOD","End of Day")</f>
        <v>End of Day</v>
      </c>
      <c r="F9" s="5" t="e">
        <f>GENERAL_C[[#This Row],[time value]]*GENERAL_C[[#This Row],[multiplicator]]</f>
        <v>#VALUE!</v>
      </c>
      <c r="G9" s="2"/>
      <c r="H9" s="18" t="s">
        <v>499</v>
      </c>
      <c r="I9" s="3" t="s">
        <v>499</v>
      </c>
      <c r="J9" s="2" t="s">
        <v>174</v>
      </c>
      <c r="K9" t="s">
        <v>175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1E78-F49C-CC4C-BEBF-9F98DF4DC70B}">
  <sheetPr>
    <tabColor rgb="FFFFC000"/>
  </sheetPr>
  <dimension ref="A1:K9"/>
  <sheetViews>
    <sheetView workbookViewId="0">
      <selection activeCell="H7" sqref="H7"/>
    </sheetView>
  </sheetViews>
  <sheetFormatPr defaultColWidth="11" defaultRowHeight="15.6" x14ac:dyDescent="0.3"/>
  <cols>
    <col min="1" max="1" width="18.3984375" bestFit="1" customWidth="1"/>
    <col min="2" max="5" width="18.3984375" customWidth="1"/>
    <col min="6" max="9" width="13.09765625" style="1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t="s">
        <v>6</v>
      </c>
      <c r="F1" s="1" t="s">
        <v>5</v>
      </c>
      <c r="G1" s="1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492</v>
      </c>
      <c r="B2" t="s">
        <v>20</v>
      </c>
      <c r="C2" t="s">
        <v>170</v>
      </c>
      <c r="D2" t="e">
        <f>#REF!</f>
        <v>#REF!</v>
      </c>
      <c r="E2" s="10" t="e" cm="1">
        <f t="array" ref="E2">_xlfn.IFS(GENERAL_D[[#This Row],[reference wisle]]="KO",#REF!+(GENERAL_D[[#This Row],[Time to KO]]/1440),GENERAL_D[[#This Row],[reference wisle]]="FW",#REF!+(GENERAL_D[[#This Row],[Time to KO]]/1440),GENERAL_D[[#This Row],[reference wisle]]="EOD","End of Day")</f>
        <v>#REF!</v>
      </c>
      <c r="F2" s="1">
        <f>GENERAL_D[[#This Row],[time value]]*GENERAL_D[[#This Row],[multiplicator]]</f>
        <v>-240</v>
      </c>
      <c r="G2" s="11">
        <v>-1</v>
      </c>
      <c r="H2" s="11">
        <v>240</v>
      </c>
      <c r="I2" s="14" t="s">
        <v>202</v>
      </c>
      <c r="J2" t="s">
        <v>32</v>
      </c>
      <c r="K2" t="s">
        <v>19</v>
      </c>
    </row>
    <row r="3" spans="1:11" x14ac:dyDescent="0.3">
      <c r="A3" t="s">
        <v>492</v>
      </c>
      <c r="B3" t="s">
        <v>2</v>
      </c>
      <c r="C3" t="s">
        <v>170</v>
      </c>
      <c r="D3" t="e">
        <f>#REF!</f>
        <v>#REF!</v>
      </c>
      <c r="E3" s="10" t="e" cm="1">
        <f t="array" ref="E3">_xlfn.IFS(GENERAL_D[[#This Row],[reference wisle]]="KO",#REF!+(GENERAL_D[[#This Row],[Time to KO]]/1440),GENERAL_D[[#This Row],[reference wisle]]="FW",#REF!+(GENERAL_D[[#This Row],[Time to KO]]/1440),GENERAL_D[[#This Row],[reference wisle]]="EOD","End of Day")</f>
        <v>#REF!</v>
      </c>
      <c r="F3" s="1">
        <f>GENERAL_D[[#This Row],[time value]]*GENERAL_D[[#This Row],[multiplicator]]</f>
        <v>-240</v>
      </c>
      <c r="G3" s="1">
        <v>-1</v>
      </c>
      <c r="H3" s="17">
        <v>240</v>
      </c>
      <c r="I3" s="15" t="s">
        <v>202</v>
      </c>
      <c r="J3" t="s">
        <v>32</v>
      </c>
      <c r="K3" t="s">
        <v>19</v>
      </c>
    </row>
    <row r="4" spans="1:11" x14ac:dyDescent="0.3">
      <c r="A4" t="s">
        <v>493</v>
      </c>
      <c r="B4" t="s">
        <v>20</v>
      </c>
      <c r="C4" t="s">
        <v>170</v>
      </c>
      <c r="D4" t="e">
        <f>#REF!</f>
        <v>#REF!</v>
      </c>
      <c r="E4" s="10" t="e" cm="1">
        <f t="array" ref="E4">_xlfn.IFS(GENERAL_D[[#This Row],[reference wisle]]="KO",#REF!+(GENERAL_D[[#This Row],[Time to KO]]/1440),GENERAL_D[[#This Row],[reference wisle]]="FW",#REF!+(GENERAL_D[[#This Row],[Time to KO]]/1440),GENERAL_D[[#This Row],[reference wisle]]="EOD","End of Day")</f>
        <v>#REF!</v>
      </c>
      <c r="F4" s="1">
        <f>GENERAL_D[[#This Row],[time value]]*GENERAL_D[[#This Row],[multiplicator]]</f>
        <v>-200</v>
      </c>
      <c r="G4" s="1">
        <v>-1</v>
      </c>
      <c r="H4" s="17">
        <v>200</v>
      </c>
      <c r="I4" s="16" t="s">
        <v>202</v>
      </c>
      <c r="J4" t="s">
        <v>34</v>
      </c>
      <c r="K4" t="s">
        <v>19</v>
      </c>
    </row>
    <row r="5" spans="1:11" x14ac:dyDescent="0.3">
      <c r="A5" t="s">
        <v>493</v>
      </c>
      <c r="B5" t="s">
        <v>20</v>
      </c>
      <c r="C5" t="s">
        <v>170</v>
      </c>
      <c r="D5" t="e">
        <f>#REF!</f>
        <v>#REF!</v>
      </c>
      <c r="E5" s="10" t="e" cm="1">
        <f t="array" ref="E5">_xlfn.IFS(GENERAL_D[[#This Row],[reference wisle]]="KO",#REF!+(GENERAL_D[[#This Row],[Time to KO]]/1440),GENERAL_D[[#This Row],[reference wisle]]="FW",#REF!+(GENERAL_D[[#This Row],[Time to KO]]/1440),GENERAL_D[[#This Row],[reference wisle]]="EOD","End of Day")</f>
        <v>#REF!</v>
      </c>
      <c r="F5" s="1">
        <f>GENERAL_D[[#This Row],[time value]]*GENERAL_D[[#This Row],[multiplicator]]</f>
        <v>85</v>
      </c>
      <c r="G5">
        <v>1</v>
      </c>
      <c r="H5" s="17">
        <v>85</v>
      </c>
      <c r="I5" s="15" t="s">
        <v>494</v>
      </c>
      <c r="J5" s="25" t="s">
        <v>495</v>
      </c>
      <c r="K5" t="s">
        <v>19</v>
      </c>
    </row>
    <row r="6" spans="1:11" x14ac:dyDescent="0.3">
      <c r="A6" t="s">
        <v>493</v>
      </c>
      <c r="B6" t="s">
        <v>20</v>
      </c>
      <c r="C6" t="s">
        <v>170</v>
      </c>
      <c r="D6" t="e">
        <f>#REF!</f>
        <v>#REF!</v>
      </c>
      <c r="E6" s="10" t="e" cm="1">
        <f t="array" ref="E6">_xlfn.IFS(GENERAL_D[[#This Row],[reference wisle]]="KO",#REF!+(GENERAL_D[[#This Row],[Time to KO]]/1440),GENERAL_D[[#This Row],[reference wisle]]="FW",#REF!+(GENERAL_D[[#This Row],[Time to KO]]/1440),GENERAL_D[[#This Row],[reference wisle]]="EOD","End of Day")</f>
        <v>#REF!</v>
      </c>
      <c r="F6" s="1">
        <f>GENERAL_D[[#This Row],[time value]]*GENERAL_D[[#This Row],[multiplicator]]</f>
        <v>75</v>
      </c>
      <c r="G6">
        <v>1</v>
      </c>
      <c r="H6" s="17">
        <v>75</v>
      </c>
      <c r="I6" s="15" t="s">
        <v>494</v>
      </c>
      <c r="J6" s="25" t="s">
        <v>496</v>
      </c>
      <c r="K6" t="s">
        <v>19</v>
      </c>
    </row>
    <row r="7" spans="1:11" x14ac:dyDescent="0.3">
      <c r="A7" t="s">
        <v>497</v>
      </c>
      <c r="B7" t="s">
        <v>20</v>
      </c>
      <c r="C7" t="s">
        <v>170</v>
      </c>
      <c r="D7" t="e">
        <f>#REF!</f>
        <v>#REF!</v>
      </c>
      <c r="E7" s="10" t="e" cm="1">
        <f t="array" ref="E7">_xlfn.IFS(GENERAL_D[[#This Row],[reference wisle]]="KO",#REF!+(GENERAL_D[[#This Row],[Time to KO]]/1440),GENERAL_D[[#This Row],[reference wisle]]="FW",#REF!+(GENERAL_D[[#This Row],[Time to KO]]/1440),GENERAL_D[[#This Row],[reference wisle]]="EOD","End of Day")</f>
        <v>#REF!</v>
      </c>
      <c r="F7" s="1">
        <f>GENERAL_D[[#This Row],[time value]]*GENERAL_D[[#This Row],[multiplicator]]</f>
        <v>-150</v>
      </c>
      <c r="G7">
        <v>-1</v>
      </c>
      <c r="H7" s="17">
        <v>150</v>
      </c>
      <c r="I7" s="15" t="s">
        <v>202</v>
      </c>
      <c r="J7" t="s">
        <v>54</v>
      </c>
      <c r="K7" t="s">
        <v>55</v>
      </c>
    </row>
    <row r="8" spans="1:11" x14ac:dyDescent="0.3">
      <c r="A8" t="s">
        <v>498</v>
      </c>
      <c r="B8" t="s">
        <v>20</v>
      </c>
      <c r="C8" t="s">
        <v>170</v>
      </c>
      <c r="D8" t="e">
        <f>#REF!</f>
        <v>#REF!</v>
      </c>
      <c r="E8" s="10" t="str" cm="1">
        <f t="array" ref="E8">_xlfn.IFS(GENERAL_D[[#This Row],[reference wisle]]="KO",#REF!+(GENERAL_D[[#This Row],[Time to KO]]/1440),GENERAL_D[[#This Row],[reference wisle]]="FW",#REF!+(GENERAL_D[[#This Row],[Time to KO]]/1440),GENERAL_D[[#This Row],[reference wisle]]="EOD","End of Day")</f>
        <v>End of Day</v>
      </c>
      <c r="F8" s="1" t="e">
        <f>GENERAL_D[[#This Row],[time value]]*GENERAL_D[[#This Row],[multiplicator]]</f>
        <v>#VALUE!</v>
      </c>
      <c r="G8"/>
      <c r="H8" s="17" t="s">
        <v>499</v>
      </c>
      <c r="I8" s="15" t="s">
        <v>499</v>
      </c>
      <c r="J8" t="s">
        <v>172</v>
      </c>
      <c r="K8" t="s">
        <v>173</v>
      </c>
    </row>
    <row r="9" spans="1:11" x14ac:dyDescent="0.3">
      <c r="A9" t="s">
        <v>498</v>
      </c>
      <c r="B9" t="s">
        <v>20</v>
      </c>
      <c r="C9" t="s">
        <v>170</v>
      </c>
      <c r="D9" t="e">
        <f>#REF!</f>
        <v>#REF!</v>
      </c>
      <c r="E9" s="10" t="str" cm="1">
        <f t="array" ref="E9">_xlfn.IFS(GENERAL_D[[#This Row],[reference wisle]]="KO",#REF!+(GENERAL_D[[#This Row],[Time to KO]]/1440),GENERAL_D[[#This Row],[reference wisle]]="FW",#REF!+(GENERAL_D[[#This Row],[Time to KO]]/1440),GENERAL_D[[#This Row],[reference wisle]]="EOD","End of Day")</f>
        <v>End of Day</v>
      </c>
      <c r="F9" s="1" t="e">
        <f>GENERAL_D[[#This Row],[time value]]*GENERAL_D[[#This Row],[multiplicator]]</f>
        <v>#VALUE!</v>
      </c>
      <c r="G9" s="2"/>
      <c r="H9" s="19" t="s">
        <v>499</v>
      </c>
      <c r="I9" s="14" t="s">
        <v>499</v>
      </c>
      <c r="J9" s="2" t="s">
        <v>174</v>
      </c>
      <c r="K9" t="s">
        <v>175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BFC1-25F0-614E-BD44-E6AE84F3FEA8}">
  <sheetPr>
    <tabColor theme="4" tint="0.79998168889431442"/>
  </sheetPr>
  <dimension ref="A1:K12"/>
  <sheetViews>
    <sheetView workbookViewId="0">
      <selection activeCell="D2" sqref="D2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9" customWidth="1"/>
    <col min="6" max="6" width="13.09765625" style="1" customWidth="1"/>
    <col min="7" max="8" width="13.09765625" style="17" customWidth="1"/>
    <col min="9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9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500</v>
      </c>
      <c r="B2" t="s">
        <v>2</v>
      </c>
      <c r="C2" t="e">
        <f>#REF!</f>
        <v>#REF!</v>
      </c>
      <c r="D2" t="e">
        <f>#REF!</f>
        <v>#REF!</v>
      </c>
      <c r="E2" s="10" t="e" cm="1">
        <f t="array" ref="E2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2" s="6">
        <f>DCL_1[[#This Row],[time value]]*DCL_1[[#This Row],[multiplicator]]</f>
        <v>-65</v>
      </c>
      <c r="G2" s="11">
        <v>-1</v>
      </c>
      <c r="H2" s="11">
        <v>65</v>
      </c>
      <c r="I2" s="3" t="s">
        <v>202</v>
      </c>
      <c r="J2" s="2" t="s">
        <v>177</v>
      </c>
      <c r="K2" s="2" t="s">
        <v>11</v>
      </c>
    </row>
    <row r="3" spans="1:11" x14ac:dyDescent="0.3">
      <c r="A3" t="s">
        <v>500</v>
      </c>
      <c r="B3" t="s">
        <v>2</v>
      </c>
      <c r="C3" t="e">
        <f>#REF!</f>
        <v>#REF!</v>
      </c>
      <c r="D3" t="e">
        <f>#REF!</f>
        <v>#REF!</v>
      </c>
      <c r="E3" s="10" t="e" cm="1">
        <f t="array" ref="E3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3" s="6">
        <f>DCL_1[[#This Row],[time value]]*DCL_1[[#This Row],[multiplicator]]</f>
        <v>-60</v>
      </c>
      <c r="G3" s="11">
        <v>-1</v>
      </c>
      <c r="H3" s="11">
        <v>60</v>
      </c>
      <c r="I3" s="14" t="s">
        <v>202</v>
      </c>
      <c r="J3" s="2" t="s">
        <v>178</v>
      </c>
      <c r="K3" s="2" t="s">
        <v>179</v>
      </c>
    </row>
    <row r="4" spans="1:11" x14ac:dyDescent="0.3">
      <c r="A4" t="s">
        <v>500</v>
      </c>
      <c r="B4" t="s">
        <v>2</v>
      </c>
      <c r="C4" t="e">
        <f>#REF!</f>
        <v>#REF!</v>
      </c>
      <c r="D4" t="e">
        <f>#REF!</f>
        <v>#REF!</v>
      </c>
      <c r="E4" s="10" t="e" cm="1">
        <f t="array" ref="E4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4" s="6">
        <f>DCL_1[[#This Row],[time value]]*DCL_1[[#This Row],[multiplicator]]</f>
        <v>-55</v>
      </c>
      <c r="G4" s="11">
        <v>-1</v>
      </c>
      <c r="H4" s="11">
        <v>55</v>
      </c>
      <c r="I4" s="14" t="s">
        <v>202</v>
      </c>
      <c r="J4" s="2" t="s">
        <v>180</v>
      </c>
      <c r="K4" s="2" t="s">
        <v>11</v>
      </c>
    </row>
    <row r="5" spans="1:11" x14ac:dyDescent="0.3">
      <c r="A5" t="s">
        <v>500</v>
      </c>
      <c r="B5" t="s">
        <v>2</v>
      </c>
      <c r="C5" t="e">
        <f>#REF!</f>
        <v>#REF!</v>
      </c>
      <c r="D5" t="e">
        <f>#REF!</f>
        <v>#REF!</v>
      </c>
      <c r="E5" s="10" t="e" cm="1">
        <f t="array" ref="E5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5" s="6">
        <f>DCL_1[[#This Row],[time value]]*DCL_1[[#This Row],[multiplicator]]</f>
        <v>-50</v>
      </c>
      <c r="G5" s="11">
        <v>-1</v>
      </c>
      <c r="H5" s="11">
        <v>50</v>
      </c>
      <c r="I5" s="14" t="s">
        <v>202</v>
      </c>
      <c r="J5" s="2" t="s">
        <v>181</v>
      </c>
      <c r="K5" s="2" t="s">
        <v>11</v>
      </c>
    </row>
    <row r="6" spans="1:11" x14ac:dyDescent="0.3">
      <c r="A6" t="s">
        <v>500</v>
      </c>
      <c r="B6" t="s">
        <v>2</v>
      </c>
      <c r="C6" t="e">
        <f>#REF!</f>
        <v>#REF!</v>
      </c>
      <c r="D6" t="e">
        <f>#REF!</f>
        <v>#REF!</v>
      </c>
      <c r="E6" s="10" t="e" cm="1">
        <f t="array" ref="E6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6" s="6">
        <f>DCL_1[[#This Row],[time value]]*DCL_1[[#This Row],[multiplicator]]</f>
        <v>-45</v>
      </c>
      <c r="G6" s="11">
        <v>-1</v>
      </c>
      <c r="H6" s="11">
        <v>45</v>
      </c>
      <c r="I6" s="14" t="s">
        <v>202</v>
      </c>
      <c r="J6" s="2" t="s">
        <v>182</v>
      </c>
      <c r="K6" s="2" t="s">
        <v>11</v>
      </c>
    </row>
    <row r="7" spans="1:11" x14ac:dyDescent="0.3">
      <c r="A7" t="s">
        <v>500</v>
      </c>
      <c r="B7" t="s">
        <v>2</v>
      </c>
      <c r="C7" t="e">
        <f>#REF!</f>
        <v>#REF!</v>
      </c>
      <c r="D7" t="e">
        <f>#REF!</f>
        <v>#REF!</v>
      </c>
      <c r="E7" s="10" t="e" cm="1">
        <f t="array" ref="E7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7" s="6">
        <f>DCL_1[[#This Row],[time value]]*DCL_1[[#This Row],[multiplicator]]</f>
        <v>-10</v>
      </c>
      <c r="G7" s="11">
        <v>-1</v>
      </c>
      <c r="H7" s="11">
        <v>10</v>
      </c>
      <c r="I7" s="14" t="s">
        <v>202</v>
      </c>
      <c r="J7" s="2" t="s">
        <v>183</v>
      </c>
      <c r="K7" s="2" t="s">
        <v>80</v>
      </c>
    </row>
    <row r="8" spans="1:11" x14ac:dyDescent="0.3">
      <c r="A8" t="s">
        <v>500</v>
      </c>
      <c r="B8" t="s">
        <v>2</v>
      </c>
      <c r="C8" t="e">
        <f>#REF!</f>
        <v>#REF!</v>
      </c>
      <c r="D8" t="e">
        <f>#REF!</f>
        <v>#REF!</v>
      </c>
      <c r="E8" s="10" t="e" cm="1">
        <f t="array" ref="E8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8" s="6">
        <f>DCL_1[[#This Row],[time value]]*DCL_1[[#This Row],[multiplicator]]</f>
        <v>0</v>
      </c>
      <c r="G8" s="11">
        <v>1</v>
      </c>
      <c r="H8" s="11">
        <v>0</v>
      </c>
      <c r="I8" s="14" t="s">
        <v>202</v>
      </c>
      <c r="J8" s="2" t="s">
        <v>501</v>
      </c>
      <c r="K8" s="2"/>
    </row>
    <row r="9" spans="1:11" x14ac:dyDescent="0.3">
      <c r="A9" t="s">
        <v>500</v>
      </c>
      <c r="B9" t="s">
        <v>2</v>
      </c>
      <c r="C9" t="e">
        <f>#REF!</f>
        <v>#REF!</v>
      </c>
      <c r="D9" t="e">
        <f>#REF!</f>
        <v>#REF!</v>
      </c>
      <c r="E9" s="10" t="e" cm="1">
        <f t="array" ref="E9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9" s="6">
        <f>DCL_1[[#This Row],[time value]]*DCL_1[[#This Row],[multiplicator]]</f>
        <v>0</v>
      </c>
      <c r="G9" s="11">
        <v>1</v>
      </c>
      <c r="H9" s="11">
        <v>0</v>
      </c>
      <c r="I9" s="14" t="s">
        <v>202</v>
      </c>
      <c r="J9" s="2" t="s">
        <v>502</v>
      </c>
      <c r="K9" s="2" t="s">
        <v>80</v>
      </c>
    </row>
    <row r="10" spans="1:11" x14ac:dyDescent="0.3">
      <c r="A10" t="s">
        <v>500</v>
      </c>
      <c r="B10" t="s">
        <v>2</v>
      </c>
      <c r="C10" t="e">
        <f>#REF!</f>
        <v>#REF!</v>
      </c>
      <c r="D10" t="e">
        <f>#REF!</f>
        <v>#REF!</v>
      </c>
      <c r="E10" s="10" t="e" cm="1">
        <f t="array" ref="E10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10" s="6">
        <f>DCL_1[[#This Row],[time value]]*DCL_1[[#This Row],[multiplicator]]</f>
        <v>30</v>
      </c>
      <c r="G10" s="11">
        <v>1</v>
      </c>
      <c r="H10" s="11">
        <v>30</v>
      </c>
      <c r="I10" s="14" t="s">
        <v>494</v>
      </c>
      <c r="J10" s="2" t="s">
        <v>503</v>
      </c>
      <c r="K10" s="2" t="s">
        <v>11</v>
      </c>
    </row>
    <row r="11" spans="1:11" x14ac:dyDescent="0.3">
      <c r="A11" t="s">
        <v>500</v>
      </c>
      <c r="B11" t="s">
        <v>2</v>
      </c>
      <c r="C11" t="e">
        <f>#REF!</f>
        <v>#REF!</v>
      </c>
      <c r="D11" t="e">
        <f>#REF!</f>
        <v>#REF!</v>
      </c>
      <c r="E11" s="10" t="e" cm="1">
        <f t="array" ref="E11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11" s="6">
        <f>DCL_1[[#This Row],[time value]]*DCL_1[[#This Row],[multiplicator]]</f>
        <v>30</v>
      </c>
      <c r="G11" s="11">
        <v>1</v>
      </c>
      <c r="H11" s="11">
        <v>30</v>
      </c>
      <c r="I11" s="14" t="s">
        <v>494</v>
      </c>
      <c r="J11" s="2" t="s">
        <v>504</v>
      </c>
      <c r="K11" s="2" t="s">
        <v>11</v>
      </c>
    </row>
    <row r="12" spans="1:11" x14ac:dyDescent="0.3">
      <c r="A12" t="s">
        <v>500</v>
      </c>
      <c r="B12" t="s">
        <v>2</v>
      </c>
      <c r="C12" t="e">
        <f>#REF!</f>
        <v>#REF!</v>
      </c>
      <c r="D12" t="e">
        <f>#REF!</f>
        <v>#REF!</v>
      </c>
      <c r="E12" s="10" t="e" cm="1">
        <f t="array" ref="E12">_xlfn.IFS(DCL_1[[#This Row],[reference wisle]]="KO",#REF!+(DCL_1[[#This Row],[Time to KO]]/1440),DCL_1[[#This Row],[reference wisle]]="FW",#REF!+(DCL_1[[#This Row],[Time to KO]]/1440),DCL_1[[#This Row],[reference wisle]]="EOD","End of Day")</f>
        <v>#REF!</v>
      </c>
      <c r="F12" s="6">
        <f>DCL_1[[#This Row],[time value]]*DCL_1[[#This Row],[multiplicator]]</f>
        <v>35</v>
      </c>
      <c r="G12" s="11">
        <v>1</v>
      </c>
      <c r="H12" s="11">
        <v>35</v>
      </c>
      <c r="I12" s="14" t="s">
        <v>494</v>
      </c>
      <c r="J12" s="2" t="s">
        <v>505</v>
      </c>
      <c r="K12" s="2" t="s">
        <v>11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7D30-DDB1-BA4F-B95F-AB138A994544}">
  <sheetPr>
    <tabColor theme="4" tint="0.79998168889431442"/>
  </sheetPr>
  <dimension ref="A1:K12"/>
  <sheetViews>
    <sheetView workbookViewId="0">
      <selection activeCell="E9" sqref="E9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506</v>
      </c>
      <c r="B2" t="s">
        <v>2</v>
      </c>
      <c r="C2" t="e">
        <f>#REF!</f>
        <v>#REF!</v>
      </c>
      <c r="D2" t="e">
        <f>#REF!</f>
        <v>#REF!</v>
      </c>
      <c r="E2" s="10" t="e" cm="1">
        <f t="array" ref="E2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2" s="6">
        <f>DCL_2[[#This Row],[time value]]*DCL_2[[#This Row],[multiplicator]]</f>
        <v>-65</v>
      </c>
      <c r="G2" s="11">
        <v>-1</v>
      </c>
      <c r="H2" s="11">
        <v>65</v>
      </c>
      <c r="I2" s="3" t="s">
        <v>202</v>
      </c>
      <c r="J2" s="2" t="s">
        <v>177</v>
      </c>
      <c r="K2" s="2" t="s">
        <v>11</v>
      </c>
    </row>
    <row r="3" spans="1:11" x14ac:dyDescent="0.3">
      <c r="A3" t="s">
        <v>506</v>
      </c>
      <c r="B3" t="s">
        <v>2</v>
      </c>
      <c r="C3" t="e">
        <f>#REF!</f>
        <v>#REF!</v>
      </c>
      <c r="D3" t="e">
        <f>#REF!</f>
        <v>#REF!</v>
      </c>
      <c r="E3" s="10" t="e" cm="1">
        <f t="array" ref="E3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3" s="6">
        <f>DCL_2[[#This Row],[time value]]*DCL_2[[#This Row],[multiplicator]]</f>
        <v>-60</v>
      </c>
      <c r="G3" s="11">
        <v>-1</v>
      </c>
      <c r="H3" s="11">
        <v>60</v>
      </c>
      <c r="I3" s="14" t="s">
        <v>202</v>
      </c>
      <c r="J3" s="2" t="s">
        <v>178</v>
      </c>
      <c r="K3" s="2" t="s">
        <v>11</v>
      </c>
    </row>
    <row r="4" spans="1:11" x14ac:dyDescent="0.3">
      <c r="A4" t="s">
        <v>506</v>
      </c>
      <c r="B4" t="s">
        <v>2</v>
      </c>
      <c r="C4" t="e">
        <f>#REF!</f>
        <v>#REF!</v>
      </c>
      <c r="D4" t="e">
        <f>#REF!</f>
        <v>#REF!</v>
      </c>
      <c r="E4" s="10" t="e" cm="1">
        <f t="array" ref="E4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4" s="6">
        <f>DCL_2[[#This Row],[time value]]*DCL_2[[#This Row],[multiplicator]]</f>
        <v>-55</v>
      </c>
      <c r="G4" s="11">
        <v>-1</v>
      </c>
      <c r="H4" s="11">
        <v>55</v>
      </c>
      <c r="I4" s="14" t="s">
        <v>202</v>
      </c>
      <c r="J4" s="2" t="s">
        <v>180</v>
      </c>
      <c r="K4" s="2" t="s">
        <v>11</v>
      </c>
    </row>
    <row r="5" spans="1:11" x14ac:dyDescent="0.3">
      <c r="A5" t="s">
        <v>506</v>
      </c>
      <c r="B5" t="s">
        <v>2</v>
      </c>
      <c r="C5" t="e">
        <f>#REF!</f>
        <v>#REF!</v>
      </c>
      <c r="D5" t="e">
        <f>#REF!</f>
        <v>#REF!</v>
      </c>
      <c r="E5" s="10" t="e" cm="1">
        <f t="array" ref="E5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5" s="6">
        <f>DCL_2[[#This Row],[time value]]*DCL_2[[#This Row],[multiplicator]]</f>
        <v>-50</v>
      </c>
      <c r="G5" s="11">
        <v>-1</v>
      </c>
      <c r="H5" s="11">
        <v>50</v>
      </c>
      <c r="I5" s="14" t="s">
        <v>202</v>
      </c>
      <c r="J5" s="2" t="s">
        <v>181</v>
      </c>
      <c r="K5" s="2" t="s">
        <v>11</v>
      </c>
    </row>
    <row r="6" spans="1:11" x14ac:dyDescent="0.3">
      <c r="A6" t="s">
        <v>506</v>
      </c>
      <c r="B6" t="s">
        <v>2</v>
      </c>
      <c r="C6" t="e">
        <f>#REF!</f>
        <v>#REF!</v>
      </c>
      <c r="D6" t="e">
        <f>#REF!</f>
        <v>#REF!</v>
      </c>
      <c r="E6" s="10" t="e" cm="1">
        <f t="array" ref="E6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6" s="6">
        <f>DCL_2[[#This Row],[time value]]*DCL_2[[#This Row],[multiplicator]]</f>
        <v>-45</v>
      </c>
      <c r="G6" s="11">
        <v>-1</v>
      </c>
      <c r="H6" s="11">
        <v>45</v>
      </c>
      <c r="I6" s="14" t="s">
        <v>202</v>
      </c>
      <c r="J6" s="2" t="s">
        <v>182</v>
      </c>
      <c r="K6" s="2" t="s">
        <v>80</v>
      </c>
    </row>
    <row r="7" spans="1:11" x14ac:dyDescent="0.3">
      <c r="A7" t="s">
        <v>506</v>
      </c>
      <c r="B7" t="s">
        <v>2</v>
      </c>
      <c r="C7" t="e">
        <f>#REF!</f>
        <v>#REF!</v>
      </c>
      <c r="D7" t="e">
        <f>#REF!</f>
        <v>#REF!</v>
      </c>
      <c r="E7" s="10" t="e" cm="1">
        <f t="array" ref="E7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7" s="6">
        <f>DCL_2[[#This Row],[time value]]*DCL_2[[#This Row],[multiplicator]]</f>
        <v>-10</v>
      </c>
      <c r="G7" s="11">
        <v>-1</v>
      </c>
      <c r="H7" s="11">
        <v>10</v>
      </c>
      <c r="I7" s="14" t="s">
        <v>202</v>
      </c>
      <c r="J7" s="2" t="s">
        <v>183</v>
      </c>
      <c r="K7" s="2" t="s">
        <v>11</v>
      </c>
    </row>
    <row r="8" spans="1:11" x14ac:dyDescent="0.3">
      <c r="A8" t="s">
        <v>506</v>
      </c>
      <c r="B8" t="s">
        <v>2</v>
      </c>
      <c r="C8" t="e">
        <f>#REF!</f>
        <v>#REF!</v>
      </c>
      <c r="D8" t="e">
        <f>#REF!</f>
        <v>#REF!</v>
      </c>
      <c r="E8" s="10" t="e" cm="1">
        <f t="array" ref="E8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8" s="6">
        <f>DCL_2[[#This Row],[time value]]*DCL_2[[#This Row],[multiplicator]]</f>
        <v>0</v>
      </c>
      <c r="G8" s="11">
        <v>1</v>
      </c>
      <c r="H8" s="11">
        <v>0</v>
      </c>
      <c r="I8" s="14" t="s">
        <v>202</v>
      </c>
      <c r="J8" s="2" t="s">
        <v>501</v>
      </c>
      <c r="K8" s="2"/>
    </row>
    <row r="9" spans="1:11" x14ac:dyDescent="0.3">
      <c r="A9" t="s">
        <v>506</v>
      </c>
      <c r="B9" t="s">
        <v>2</v>
      </c>
      <c r="C9" t="e">
        <f>#REF!</f>
        <v>#REF!</v>
      </c>
      <c r="D9" t="e">
        <f>#REF!</f>
        <v>#REF!</v>
      </c>
      <c r="E9" s="10" t="e" cm="1">
        <f t="array" ref="E9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9" s="6">
        <f>DCL_2[[#This Row],[time value]]*DCL_2[[#This Row],[multiplicator]]</f>
        <v>0</v>
      </c>
      <c r="G9" s="11">
        <v>1</v>
      </c>
      <c r="H9" s="11">
        <v>0</v>
      </c>
      <c r="I9" s="14" t="s">
        <v>202</v>
      </c>
      <c r="J9" s="2" t="s">
        <v>502</v>
      </c>
      <c r="K9" s="2"/>
    </row>
    <row r="10" spans="1:11" x14ac:dyDescent="0.3">
      <c r="A10" t="s">
        <v>506</v>
      </c>
      <c r="B10" t="s">
        <v>2</v>
      </c>
      <c r="C10" t="e">
        <f>#REF!</f>
        <v>#REF!</v>
      </c>
      <c r="D10" t="e">
        <f>#REF!</f>
        <v>#REF!</v>
      </c>
      <c r="E10" s="10" t="e" cm="1">
        <f t="array" ref="E10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10" s="6">
        <f>DCL_2[[#This Row],[time value]]*DCL_2[[#This Row],[multiplicator]]</f>
        <v>30</v>
      </c>
      <c r="G10" s="11">
        <v>1</v>
      </c>
      <c r="H10" s="11">
        <v>30</v>
      </c>
      <c r="I10" s="14" t="s">
        <v>494</v>
      </c>
      <c r="J10" s="2" t="s">
        <v>503</v>
      </c>
      <c r="K10" s="2"/>
    </row>
    <row r="11" spans="1:11" x14ac:dyDescent="0.3">
      <c r="A11" t="s">
        <v>506</v>
      </c>
      <c r="B11" t="s">
        <v>2</v>
      </c>
      <c r="C11" t="e">
        <f>#REF!</f>
        <v>#REF!</v>
      </c>
      <c r="D11" t="e">
        <f>#REF!</f>
        <v>#REF!</v>
      </c>
      <c r="E11" s="10" t="e" cm="1">
        <f t="array" ref="E11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11" s="6">
        <f>DCL_2[[#This Row],[time value]]*DCL_2[[#This Row],[multiplicator]]</f>
        <v>30</v>
      </c>
      <c r="G11" s="11">
        <v>1</v>
      </c>
      <c r="H11" s="11">
        <v>30</v>
      </c>
      <c r="I11" s="14" t="s">
        <v>494</v>
      </c>
      <c r="J11" s="2" t="s">
        <v>504</v>
      </c>
      <c r="K11" s="2"/>
    </row>
    <row r="12" spans="1:11" x14ac:dyDescent="0.3">
      <c r="A12" t="s">
        <v>506</v>
      </c>
      <c r="B12" t="s">
        <v>2</v>
      </c>
      <c r="C12" t="e">
        <f>#REF!</f>
        <v>#REF!</v>
      </c>
      <c r="D12" t="e">
        <f>#REF!</f>
        <v>#REF!</v>
      </c>
      <c r="E12" s="10" t="e" cm="1">
        <f t="array" ref="E12">_xlfn.IFS(DCL_2[[#This Row],[reference wisle]]="KO",#REF!+(DCL_2[[#This Row],[Time to KO]]/1440),DCL_2[[#This Row],[reference wisle]]="FW",#REF!+(DCL_2[[#This Row],[Time to KO]]/1440),DCL_2[[#This Row],[reference wisle]]="EOD","End of Day")</f>
        <v>#REF!</v>
      </c>
      <c r="F12" s="6">
        <f>DCL_2[[#This Row],[time value]]*DCL_2[[#This Row],[multiplicator]]</f>
        <v>35</v>
      </c>
      <c r="G12" s="11">
        <v>1</v>
      </c>
      <c r="H12" s="11">
        <v>35</v>
      </c>
      <c r="I12" s="14" t="s">
        <v>494</v>
      </c>
      <c r="J12" s="2" t="s">
        <v>505</v>
      </c>
      <c r="K12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840C-D851-1042-AC4D-B7C11AC74636}">
  <sheetPr>
    <tabColor theme="4" tint="0.79998168889431442"/>
  </sheetPr>
  <dimension ref="A1:K13"/>
  <sheetViews>
    <sheetView workbookViewId="0">
      <selection activeCell="J13" sqref="J13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507</v>
      </c>
      <c r="B2" t="s">
        <v>2</v>
      </c>
      <c r="C2" t="e">
        <f>#REF!</f>
        <v>#REF!</v>
      </c>
      <c r="D2" t="e">
        <f>#REF!</f>
        <v>#REF!</v>
      </c>
      <c r="E2" s="10" t="e" cm="1">
        <f t="array" ref="E2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2" s="6">
        <f>DCL_3[[#This Row],[time value]]*DCL_3[[#This Row],[multiplicator]]</f>
        <v>-175</v>
      </c>
      <c r="G2" s="11">
        <v>-1</v>
      </c>
      <c r="H2" s="11">
        <v>175</v>
      </c>
      <c r="I2" s="3" t="s">
        <v>202</v>
      </c>
      <c r="J2" s="2" t="s">
        <v>177</v>
      </c>
      <c r="K2" s="2" t="s">
        <v>11</v>
      </c>
    </row>
    <row r="3" spans="1:11" x14ac:dyDescent="0.3">
      <c r="A3" t="s">
        <v>507</v>
      </c>
      <c r="B3" t="s">
        <v>2</v>
      </c>
      <c r="C3" t="e">
        <f>#REF!</f>
        <v>#REF!</v>
      </c>
      <c r="D3" t="e">
        <f>#REF!</f>
        <v>#REF!</v>
      </c>
      <c r="E3" s="10" t="e" cm="1">
        <f t="array" ref="E3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3" s="6">
        <f>DCL_3[[#This Row],[time value]]*DCL_3[[#This Row],[multiplicator]]</f>
        <v>-170</v>
      </c>
      <c r="G3" s="11">
        <v>-1</v>
      </c>
      <c r="H3" s="11">
        <v>170</v>
      </c>
      <c r="I3" s="14" t="s">
        <v>202</v>
      </c>
      <c r="J3" s="2" t="s">
        <v>184</v>
      </c>
      <c r="K3" s="2" t="s">
        <v>11</v>
      </c>
    </row>
    <row r="4" spans="1:11" x14ac:dyDescent="0.3">
      <c r="A4" t="s">
        <v>507</v>
      </c>
      <c r="B4" t="s">
        <v>2</v>
      </c>
      <c r="C4" t="e">
        <f>#REF!</f>
        <v>#REF!</v>
      </c>
      <c r="D4" t="e">
        <f>#REF!</f>
        <v>#REF!</v>
      </c>
      <c r="E4" s="10" t="e" cm="1">
        <f t="array" ref="E4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4" s="6">
        <f>DCL_3[[#This Row],[time value]]*DCL_3[[#This Row],[multiplicator]]</f>
        <v>-165</v>
      </c>
      <c r="G4" s="11">
        <v>-1</v>
      </c>
      <c r="H4" s="11">
        <v>165</v>
      </c>
      <c r="I4" s="14" t="s">
        <v>202</v>
      </c>
      <c r="J4" s="2" t="s">
        <v>180</v>
      </c>
      <c r="K4" s="2" t="s">
        <v>11</v>
      </c>
    </row>
    <row r="5" spans="1:11" x14ac:dyDescent="0.3">
      <c r="A5" t="s">
        <v>507</v>
      </c>
      <c r="B5" t="s">
        <v>2</v>
      </c>
      <c r="C5" t="e">
        <f>#REF!</f>
        <v>#REF!</v>
      </c>
      <c r="D5" t="e">
        <f>#REF!</f>
        <v>#REF!</v>
      </c>
      <c r="E5" s="10" t="e" cm="1">
        <f t="array" ref="E5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5" s="6">
        <f>DCL_3[[#This Row],[time value]]*DCL_3[[#This Row],[multiplicator]]</f>
        <v>-160</v>
      </c>
      <c r="G5" s="11">
        <v>-1</v>
      </c>
      <c r="H5" s="11">
        <v>160</v>
      </c>
      <c r="I5" s="14" t="s">
        <v>202</v>
      </c>
      <c r="J5" s="2" t="s">
        <v>185</v>
      </c>
      <c r="K5" s="2" t="s">
        <v>11</v>
      </c>
    </row>
    <row r="6" spans="1:11" x14ac:dyDescent="0.3">
      <c r="A6" t="s">
        <v>507</v>
      </c>
      <c r="B6" t="s">
        <v>2</v>
      </c>
      <c r="C6" t="e">
        <f>#REF!</f>
        <v>#REF!</v>
      </c>
      <c r="D6" t="e">
        <f>#REF!</f>
        <v>#REF!</v>
      </c>
      <c r="E6" s="10" t="e" cm="1">
        <f t="array" ref="E6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6" s="6">
        <f>DCL_3[[#This Row],[time value]]*DCL_3[[#This Row],[multiplicator]]</f>
        <v>-155</v>
      </c>
      <c r="G6" s="11">
        <v>-1</v>
      </c>
      <c r="H6" s="11">
        <v>155</v>
      </c>
      <c r="I6" s="14" t="s">
        <v>202</v>
      </c>
      <c r="J6" s="2" t="s">
        <v>186</v>
      </c>
      <c r="K6" s="2" t="s">
        <v>80</v>
      </c>
    </row>
    <row r="7" spans="1:11" x14ac:dyDescent="0.3">
      <c r="A7" t="s">
        <v>507</v>
      </c>
      <c r="B7" t="s">
        <v>2</v>
      </c>
      <c r="C7" t="e">
        <f>#REF!</f>
        <v>#REF!</v>
      </c>
      <c r="D7" t="e">
        <f>#REF!</f>
        <v>#REF!</v>
      </c>
      <c r="E7" s="10" t="e" cm="1">
        <f t="array" ref="E7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7" s="6">
        <f>DCL_3[[#This Row],[time value]]*DCL_3[[#This Row],[multiplicator]]</f>
        <v>-150</v>
      </c>
      <c r="G7" s="11">
        <v>-1</v>
      </c>
      <c r="H7" s="11">
        <v>150</v>
      </c>
      <c r="I7" s="14" t="s">
        <v>202</v>
      </c>
      <c r="J7" s="2" t="s">
        <v>183</v>
      </c>
      <c r="K7" s="2" t="s">
        <v>11</v>
      </c>
    </row>
    <row r="8" spans="1:11" x14ac:dyDescent="0.3">
      <c r="A8" t="s">
        <v>507</v>
      </c>
      <c r="B8" t="s">
        <v>2</v>
      </c>
      <c r="C8" t="e">
        <f>#REF!</f>
        <v>#REF!</v>
      </c>
      <c r="D8" t="e">
        <f>#REF!</f>
        <v>#REF!</v>
      </c>
      <c r="E8" s="10" t="e" cm="1">
        <f t="array" ref="E8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8" s="6">
        <f>DCL_3[[#This Row],[time value]]*DCL_3[[#This Row],[multiplicator]]</f>
        <v>0</v>
      </c>
      <c r="G8" s="11">
        <v>1</v>
      </c>
      <c r="H8" s="11">
        <v>0</v>
      </c>
      <c r="I8" s="14" t="s">
        <v>202</v>
      </c>
      <c r="J8" s="2" t="s">
        <v>125</v>
      </c>
      <c r="K8" s="2"/>
    </row>
    <row r="9" spans="1:11" x14ac:dyDescent="0.3">
      <c r="A9" t="s">
        <v>507</v>
      </c>
      <c r="B9" t="s">
        <v>2</v>
      </c>
      <c r="C9" t="e">
        <f>#REF!</f>
        <v>#REF!</v>
      </c>
      <c r="D9" t="e">
        <f>#REF!</f>
        <v>#REF!</v>
      </c>
      <c r="E9" s="10" t="e" cm="1">
        <f t="array" ref="E9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9" s="6">
        <f>DCL_3[[#This Row],[time value]]*DCL_3[[#This Row],[multiplicator]]</f>
        <v>0</v>
      </c>
      <c r="G9" s="11">
        <v>1</v>
      </c>
      <c r="H9" s="11">
        <v>0</v>
      </c>
      <c r="I9" s="14" t="s">
        <v>202</v>
      </c>
      <c r="J9" s="2" t="s">
        <v>126</v>
      </c>
      <c r="K9" s="2" t="s">
        <v>80</v>
      </c>
    </row>
    <row r="10" spans="1:11" x14ac:dyDescent="0.3">
      <c r="A10" t="s">
        <v>507</v>
      </c>
      <c r="B10" t="s">
        <v>2</v>
      </c>
      <c r="C10" t="e">
        <f>#REF!</f>
        <v>#REF!</v>
      </c>
      <c r="D10" t="e">
        <f>#REF!</f>
        <v>#REF!</v>
      </c>
      <c r="E10" s="10" t="e" cm="1">
        <f t="array" ref="E10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10" s="6">
        <f>DCL_3[[#This Row],[time value]]*DCL_3[[#This Row],[multiplicator]]</f>
        <v>45</v>
      </c>
      <c r="G10" s="11">
        <v>1</v>
      </c>
      <c r="H10" s="11">
        <v>45</v>
      </c>
      <c r="I10" s="14" t="s">
        <v>202</v>
      </c>
      <c r="J10" s="2" t="s">
        <v>139</v>
      </c>
      <c r="K10" s="2"/>
    </row>
    <row r="11" spans="1:11" x14ac:dyDescent="0.3">
      <c r="A11" t="s">
        <v>507</v>
      </c>
      <c r="B11" t="s">
        <v>2</v>
      </c>
      <c r="C11" t="e">
        <f>#REF!</f>
        <v>#REF!</v>
      </c>
      <c r="D11" t="e">
        <f>#REF!</f>
        <v>#REF!</v>
      </c>
      <c r="E11" s="10" t="e" cm="1">
        <f t="array" ref="E11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11" s="6">
        <f>DCL_3[[#This Row],[time value]]*DCL_3[[#This Row],[multiplicator]]</f>
        <v>60</v>
      </c>
      <c r="G11" s="11">
        <v>1</v>
      </c>
      <c r="H11" s="11">
        <v>60</v>
      </c>
      <c r="I11" s="14" t="s">
        <v>202</v>
      </c>
      <c r="J11" s="2" t="s">
        <v>126</v>
      </c>
      <c r="K11" s="2" t="s">
        <v>80</v>
      </c>
    </row>
    <row r="12" spans="1:11" x14ac:dyDescent="0.3">
      <c r="A12" t="s">
        <v>507</v>
      </c>
      <c r="B12" t="s">
        <v>2</v>
      </c>
      <c r="C12" t="e">
        <f>#REF!</f>
        <v>#REF!</v>
      </c>
      <c r="D12" t="e">
        <f>#REF!</f>
        <v>#REF!</v>
      </c>
      <c r="E12" s="10" t="e" cm="1">
        <f t="array" ref="E12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12" s="6">
        <f>DCL_3[[#This Row],[time value]]*DCL_3[[#This Row],[multiplicator]]</f>
        <v>0</v>
      </c>
      <c r="G12" s="11">
        <v>1</v>
      </c>
      <c r="H12" s="11"/>
      <c r="I12" s="14" t="s">
        <v>494</v>
      </c>
      <c r="J12" s="2" t="s">
        <v>143</v>
      </c>
      <c r="K12" s="2"/>
    </row>
    <row r="13" spans="1:11" x14ac:dyDescent="0.3">
      <c r="A13" t="s">
        <v>507</v>
      </c>
      <c r="B13" t="s">
        <v>2</v>
      </c>
      <c r="C13" t="e">
        <f>#REF!</f>
        <v>#REF!</v>
      </c>
      <c r="D13" t="e">
        <f>#REF!</f>
        <v>#REF!</v>
      </c>
      <c r="E13" s="10" t="e" cm="1">
        <f t="array" ref="E13">_xlfn.IFS(DCL_3[[#This Row],[reference wisle]]="KO",#REF!+(DCL_3[[#This Row],[Time to KO]]/1440),DCL_3[[#This Row],[reference wisle]]="FW",#REF!+(DCL_3[[#This Row],[Time to KO]]/1440),DCL_3[[#This Row],[reference wisle]]="EOD","End of Day")</f>
        <v>#REF!</v>
      </c>
      <c r="F13" s="21">
        <f>DCL_3[[#This Row],[time value]]*DCL_3[[#This Row],[multiplicator]]</f>
        <v>65</v>
      </c>
      <c r="G13" s="11">
        <v>1</v>
      </c>
      <c r="H13" s="11">
        <v>65</v>
      </c>
      <c r="I13" s="14" t="s">
        <v>494</v>
      </c>
      <c r="J13" s="2" t="s">
        <v>508</v>
      </c>
      <c r="K13" s="2" t="s">
        <v>11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878F-80AA-164C-A648-D343C30375EB}">
  <sheetPr>
    <tabColor theme="4" tint="0.79998168889431442"/>
  </sheetPr>
  <dimension ref="A1:K13"/>
  <sheetViews>
    <sheetView workbookViewId="0">
      <selection activeCell="J13" sqref="J13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509</v>
      </c>
      <c r="B2" t="s">
        <v>2</v>
      </c>
      <c r="C2" t="e">
        <f>#REF!</f>
        <v>#REF!</v>
      </c>
      <c r="D2" t="e">
        <f>#REF!</f>
        <v>#REF!</v>
      </c>
      <c r="E2" s="10" t="e" cm="1">
        <f t="array" ref="E2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2" s="6">
        <f>DCL_4[[#This Row],[time value]]*DCL_4[[#This Row],[multiplicator]]</f>
        <v>-175</v>
      </c>
      <c r="G2" s="11">
        <v>-1</v>
      </c>
      <c r="H2" s="11">
        <v>175</v>
      </c>
      <c r="I2" s="3" t="s">
        <v>202</v>
      </c>
      <c r="J2" s="2" t="s">
        <v>177</v>
      </c>
      <c r="K2" s="2" t="s">
        <v>11</v>
      </c>
    </row>
    <row r="3" spans="1:11" x14ac:dyDescent="0.3">
      <c r="A3" t="s">
        <v>509</v>
      </c>
      <c r="B3" t="s">
        <v>2</v>
      </c>
      <c r="C3" t="e">
        <f>#REF!</f>
        <v>#REF!</v>
      </c>
      <c r="D3" t="e">
        <f>#REF!</f>
        <v>#REF!</v>
      </c>
      <c r="E3" s="10" t="e" cm="1">
        <f t="array" ref="E3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3" s="6">
        <f>DCL_4[[#This Row],[time value]]*DCL_4[[#This Row],[multiplicator]]</f>
        <v>-170</v>
      </c>
      <c r="G3" s="11">
        <v>-1</v>
      </c>
      <c r="H3" s="11">
        <v>170</v>
      </c>
      <c r="I3" s="14" t="s">
        <v>202</v>
      </c>
      <c r="J3" s="2" t="s">
        <v>187</v>
      </c>
      <c r="K3" s="2" t="s">
        <v>11</v>
      </c>
    </row>
    <row r="4" spans="1:11" x14ac:dyDescent="0.3">
      <c r="A4" t="s">
        <v>509</v>
      </c>
      <c r="B4" t="s">
        <v>2</v>
      </c>
      <c r="C4" t="e">
        <f>#REF!</f>
        <v>#REF!</v>
      </c>
      <c r="D4" t="e">
        <f>#REF!</f>
        <v>#REF!</v>
      </c>
      <c r="E4" s="10" t="e" cm="1">
        <f t="array" ref="E4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4" s="6">
        <f>DCL_4[[#This Row],[time value]]*DCL_4[[#This Row],[multiplicator]]</f>
        <v>-165</v>
      </c>
      <c r="G4" s="11">
        <v>-1</v>
      </c>
      <c r="H4" s="11">
        <v>165</v>
      </c>
      <c r="I4" s="14" t="s">
        <v>202</v>
      </c>
      <c r="J4" s="2" t="s">
        <v>180</v>
      </c>
      <c r="K4" s="2" t="s">
        <v>11</v>
      </c>
    </row>
    <row r="5" spans="1:11" x14ac:dyDescent="0.3">
      <c r="A5" t="s">
        <v>509</v>
      </c>
      <c r="B5" t="s">
        <v>2</v>
      </c>
      <c r="C5" t="e">
        <f>#REF!</f>
        <v>#REF!</v>
      </c>
      <c r="D5" t="e">
        <f>#REF!</f>
        <v>#REF!</v>
      </c>
      <c r="E5" s="10" t="e" cm="1">
        <f t="array" ref="E5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5" s="6">
        <f>DCL_4[[#This Row],[time value]]*DCL_4[[#This Row],[multiplicator]]</f>
        <v>-160</v>
      </c>
      <c r="G5" s="11">
        <v>-1</v>
      </c>
      <c r="H5" s="11">
        <v>160</v>
      </c>
      <c r="I5" s="14" t="s">
        <v>202</v>
      </c>
      <c r="J5" s="2" t="s">
        <v>188</v>
      </c>
      <c r="K5" s="2" t="s">
        <v>11</v>
      </c>
    </row>
    <row r="6" spans="1:11" x14ac:dyDescent="0.3">
      <c r="A6" t="s">
        <v>509</v>
      </c>
      <c r="B6" t="s">
        <v>2</v>
      </c>
      <c r="C6" t="e">
        <f>#REF!</f>
        <v>#REF!</v>
      </c>
      <c r="D6" t="e">
        <f>#REF!</f>
        <v>#REF!</v>
      </c>
      <c r="E6" s="10" t="e" cm="1">
        <f t="array" ref="E6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6" s="6">
        <f>DCL_4[[#This Row],[time value]]*DCL_4[[#This Row],[multiplicator]]</f>
        <v>-155</v>
      </c>
      <c r="G6" s="11">
        <v>-1</v>
      </c>
      <c r="H6" s="11">
        <v>155</v>
      </c>
      <c r="I6" s="14" t="s">
        <v>202</v>
      </c>
      <c r="J6" s="2" t="s">
        <v>189</v>
      </c>
      <c r="K6" s="2" t="s">
        <v>80</v>
      </c>
    </row>
    <row r="7" spans="1:11" x14ac:dyDescent="0.3">
      <c r="A7" t="s">
        <v>509</v>
      </c>
      <c r="B7" t="s">
        <v>2</v>
      </c>
      <c r="C7" t="e">
        <f>#REF!</f>
        <v>#REF!</v>
      </c>
      <c r="D7" t="e">
        <f>#REF!</f>
        <v>#REF!</v>
      </c>
      <c r="E7" s="10" t="e" cm="1">
        <f t="array" ref="E7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7" s="6">
        <f>DCL_4[[#This Row],[time value]]*DCL_4[[#This Row],[multiplicator]]</f>
        <v>-150</v>
      </c>
      <c r="G7" s="11">
        <v>-1</v>
      </c>
      <c r="H7" s="11">
        <v>150</v>
      </c>
      <c r="I7" s="14" t="s">
        <v>202</v>
      </c>
      <c r="J7" s="2" t="s">
        <v>183</v>
      </c>
      <c r="K7" s="2" t="s">
        <v>11</v>
      </c>
    </row>
    <row r="8" spans="1:11" x14ac:dyDescent="0.3">
      <c r="A8" t="s">
        <v>509</v>
      </c>
      <c r="B8" t="s">
        <v>2</v>
      </c>
      <c r="C8" t="e">
        <f>#REF!</f>
        <v>#REF!</v>
      </c>
      <c r="D8" t="e">
        <f>#REF!</f>
        <v>#REF!</v>
      </c>
      <c r="E8" s="10" t="e" cm="1">
        <f t="array" ref="E8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8" s="6">
        <f>DCL_4[[#This Row],[time value]]*DCL_4[[#This Row],[multiplicator]]</f>
        <v>0</v>
      </c>
      <c r="G8" s="11">
        <v>1</v>
      </c>
      <c r="H8" s="11">
        <v>0</v>
      </c>
      <c r="I8" s="14" t="s">
        <v>202</v>
      </c>
      <c r="J8" s="2" t="s">
        <v>125</v>
      </c>
      <c r="K8" s="2"/>
    </row>
    <row r="9" spans="1:11" x14ac:dyDescent="0.3">
      <c r="A9" t="s">
        <v>509</v>
      </c>
      <c r="B9" t="s">
        <v>2</v>
      </c>
      <c r="C9" t="e">
        <f>#REF!</f>
        <v>#REF!</v>
      </c>
      <c r="D9" t="e">
        <f>#REF!</f>
        <v>#REF!</v>
      </c>
      <c r="E9" s="10" t="e" cm="1">
        <f t="array" ref="E9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9" s="6">
        <f>DCL_4[[#This Row],[time value]]*DCL_4[[#This Row],[multiplicator]]</f>
        <v>0</v>
      </c>
      <c r="G9" s="11">
        <v>1</v>
      </c>
      <c r="H9" s="11">
        <v>0</v>
      </c>
      <c r="I9" s="14" t="s">
        <v>202</v>
      </c>
      <c r="J9" s="2" t="s">
        <v>126</v>
      </c>
      <c r="K9" s="2" t="s">
        <v>80</v>
      </c>
    </row>
    <row r="10" spans="1:11" x14ac:dyDescent="0.3">
      <c r="A10" t="s">
        <v>509</v>
      </c>
      <c r="B10" t="s">
        <v>2</v>
      </c>
      <c r="C10" t="e">
        <f>#REF!</f>
        <v>#REF!</v>
      </c>
      <c r="D10" t="e">
        <f>#REF!</f>
        <v>#REF!</v>
      </c>
      <c r="E10" s="10" t="e" cm="1">
        <f t="array" ref="E10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10" s="6">
        <f>DCL_4[[#This Row],[time value]]*DCL_4[[#This Row],[multiplicator]]</f>
        <v>45</v>
      </c>
      <c r="G10" s="11">
        <v>1</v>
      </c>
      <c r="H10" s="11">
        <v>45</v>
      </c>
      <c r="I10" s="14" t="s">
        <v>202</v>
      </c>
      <c r="J10" s="2" t="s">
        <v>139</v>
      </c>
      <c r="K10" s="2"/>
    </row>
    <row r="11" spans="1:11" x14ac:dyDescent="0.3">
      <c r="A11" t="s">
        <v>509</v>
      </c>
      <c r="B11" t="s">
        <v>2</v>
      </c>
      <c r="C11" t="e">
        <f>#REF!</f>
        <v>#REF!</v>
      </c>
      <c r="D11" t="e">
        <f>#REF!</f>
        <v>#REF!</v>
      </c>
      <c r="E11" s="10" t="e" cm="1">
        <f t="array" ref="E11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11" s="6">
        <f>DCL_4[[#This Row],[time value]]*DCL_4[[#This Row],[multiplicator]]</f>
        <v>60</v>
      </c>
      <c r="G11" s="11">
        <v>1</v>
      </c>
      <c r="H11" s="11">
        <v>60</v>
      </c>
      <c r="I11" s="14" t="s">
        <v>202</v>
      </c>
      <c r="J11" s="2" t="s">
        <v>126</v>
      </c>
      <c r="K11" s="2" t="s">
        <v>80</v>
      </c>
    </row>
    <row r="12" spans="1:11" x14ac:dyDescent="0.3">
      <c r="A12" t="s">
        <v>509</v>
      </c>
      <c r="B12" t="s">
        <v>2</v>
      </c>
      <c r="C12" t="e">
        <f>#REF!</f>
        <v>#REF!</v>
      </c>
      <c r="D12" t="e">
        <f>#REF!</f>
        <v>#REF!</v>
      </c>
      <c r="E12" s="10" t="e" cm="1">
        <f t="array" ref="E12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12" s="6">
        <f>DCL_4[[#This Row],[time value]]*DCL_4[[#This Row],[multiplicator]]</f>
        <v>0</v>
      </c>
      <c r="G12" s="11">
        <v>1</v>
      </c>
      <c r="H12" s="11"/>
      <c r="I12" s="14" t="s">
        <v>494</v>
      </c>
      <c r="J12" s="2" t="s">
        <v>143</v>
      </c>
      <c r="K12" s="2"/>
    </row>
    <row r="13" spans="1:11" x14ac:dyDescent="0.3">
      <c r="A13" t="s">
        <v>509</v>
      </c>
      <c r="B13" t="s">
        <v>2</v>
      </c>
      <c r="C13" t="e">
        <f>#REF!</f>
        <v>#REF!</v>
      </c>
      <c r="D13" t="e">
        <f>#REF!</f>
        <v>#REF!</v>
      </c>
      <c r="E13" s="10" t="e" cm="1">
        <f t="array" ref="E13">_xlfn.IFS(DCL_4[[#This Row],[reference wisle]]="KO",#REF!+(DCL_4[[#This Row],[Time to KO]]/1440),DCL_4[[#This Row],[reference wisle]]="FW",#REF!+(DCL_4[[#This Row],[Time to KO]]/1440),DCL_4[[#This Row],[reference wisle]]="EOD","End of Day")</f>
        <v>#REF!</v>
      </c>
      <c r="F13" s="21">
        <f>DCL_4[[#This Row],[time value]]*DCL_4[[#This Row],[multiplicator]]</f>
        <v>65</v>
      </c>
      <c r="G13" s="11">
        <v>1</v>
      </c>
      <c r="H13" s="11">
        <v>65</v>
      </c>
      <c r="I13" s="14" t="s">
        <v>494</v>
      </c>
      <c r="J13" s="2" t="s">
        <v>510</v>
      </c>
      <c r="K13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B5D2-5199-1A42-A6FB-7BC6A7B842AE}">
  <sheetPr>
    <tabColor theme="4" tint="0.79998168889431442"/>
  </sheetPr>
  <dimension ref="A1:K19"/>
  <sheetViews>
    <sheetView workbookViewId="0">
      <selection activeCell="A7" sqref="A7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511</v>
      </c>
      <c r="B2" t="s">
        <v>2</v>
      </c>
      <c r="C2" t="e">
        <f>#REF!</f>
        <v>#REF!</v>
      </c>
      <c r="D2" t="e">
        <f>#REF!</f>
        <v>#REF!</v>
      </c>
      <c r="E2" s="10" t="e" cm="1">
        <f t="array" ref="E2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2" s="6">
        <f>DCL_5[[#This Row],[time value]]*DCL_5[[#This Row],[multiplicator]]</f>
        <v>-145</v>
      </c>
      <c r="G2" s="11">
        <v>-1</v>
      </c>
      <c r="H2" s="11">
        <v>145</v>
      </c>
      <c r="I2" s="3" t="s">
        <v>202</v>
      </c>
      <c r="J2" s="2" t="s">
        <v>177</v>
      </c>
      <c r="K2" s="2" t="s">
        <v>11</v>
      </c>
    </row>
    <row r="3" spans="1:11" x14ac:dyDescent="0.3">
      <c r="A3" t="s">
        <v>511</v>
      </c>
      <c r="B3" t="s">
        <v>2</v>
      </c>
      <c r="C3" t="e">
        <f>#REF!</f>
        <v>#REF!</v>
      </c>
      <c r="D3" t="e">
        <f>#REF!</f>
        <v>#REF!</v>
      </c>
      <c r="E3" s="10" t="e" cm="1">
        <f t="array" ref="E3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3" s="6">
        <f>DCL_5[[#This Row],[time value]]*DCL_5[[#This Row],[multiplicator]]</f>
        <v>-140</v>
      </c>
      <c r="G3" s="11">
        <v>-1</v>
      </c>
      <c r="H3" s="11">
        <v>140</v>
      </c>
      <c r="I3" s="14" t="s">
        <v>202</v>
      </c>
      <c r="J3" s="2" t="s">
        <v>190</v>
      </c>
      <c r="K3" s="2" t="s">
        <v>11</v>
      </c>
    </row>
    <row r="4" spans="1:11" x14ac:dyDescent="0.3">
      <c r="A4" t="s">
        <v>511</v>
      </c>
      <c r="B4" t="s">
        <v>2</v>
      </c>
      <c r="C4" t="e">
        <f>#REF!</f>
        <v>#REF!</v>
      </c>
      <c r="D4" t="e">
        <f>#REF!</f>
        <v>#REF!</v>
      </c>
      <c r="E4" s="10" t="e" cm="1">
        <f t="array" ref="E4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4" s="6">
        <f>DCL_5[[#This Row],[time value]]*DCL_5[[#This Row],[multiplicator]]</f>
        <v>-135</v>
      </c>
      <c r="G4" s="11">
        <v>-1</v>
      </c>
      <c r="H4" s="11">
        <v>135</v>
      </c>
      <c r="I4" s="14" t="s">
        <v>202</v>
      </c>
      <c r="J4" s="2" t="s">
        <v>180</v>
      </c>
      <c r="K4" s="2" t="s">
        <v>11</v>
      </c>
    </row>
    <row r="5" spans="1:11" x14ac:dyDescent="0.3">
      <c r="A5" t="s">
        <v>511</v>
      </c>
      <c r="B5" t="s">
        <v>2</v>
      </c>
      <c r="C5" t="e">
        <f>#REF!</f>
        <v>#REF!</v>
      </c>
      <c r="D5" t="e">
        <f>#REF!</f>
        <v>#REF!</v>
      </c>
      <c r="E5" s="10" t="e" cm="1">
        <f t="array" ref="E5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5" s="6">
        <f>DCL_5[[#This Row],[time value]]*DCL_5[[#This Row],[multiplicator]]</f>
        <v>-130</v>
      </c>
      <c r="G5" s="11">
        <v>-1</v>
      </c>
      <c r="H5" s="11">
        <v>130</v>
      </c>
      <c r="I5" s="14" t="s">
        <v>202</v>
      </c>
      <c r="J5" s="2" t="s">
        <v>191</v>
      </c>
      <c r="K5" s="2" t="s">
        <v>11</v>
      </c>
    </row>
    <row r="6" spans="1:11" x14ac:dyDescent="0.3">
      <c r="A6" t="s">
        <v>511</v>
      </c>
      <c r="B6" t="s">
        <v>2</v>
      </c>
      <c r="C6" t="e">
        <f>#REF!</f>
        <v>#REF!</v>
      </c>
      <c r="D6" t="e">
        <f>#REF!</f>
        <v>#REF!</v>
      </c>
      <c r="E6" s="10" t="e" cm="1">
        <f t="array" ref="E6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6" s="6">
        <f>DCL_5[[#This Row],[time value]]*DCL_5[[#This Row],[multiplicator]]</f>
        <v>-125</v>
      </c>
      <c r="G6" s="11">
        <v>-1</v>
      </c>
      <c r="H6" s="11">
        <v>125</v>
      </c>
      <c r="I6" s="14" t="s">
        <v>202</v>
      </c>
      <c r="J6" s="2" t="s">
        <v>192</v>
      </c>
      <c r="K6" s="2" t="s">
        <v>80</v>
      </c>
    </row>
    <row r="7" spans="1:11" x14ac:dyDescent="0.3">
      <c r="A7" t="s">
        <v>511</v>
      </c>
      <c r="B7" t="s">
        <v>2</v>
      </c>
      <c r="C7" t="e">
        <f>#REF!</f>
        <v>#REF!</v>
      </c>
      <c r="D7" t="e">
        <f>#REF!</f>
        <v>#REF!</v>
      </c>
      <c r="E7" s="10" t="e" cm="1">
        <f t="array" ref="E7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7" s="6">
        <f>DCL_5[[#This Row],[time value]]*DCL_5[[#This Row],[multiplicator]]</f>
        <v>-120</v>
      </c>
      <c r="G7" s="11">
        <v>-1</v>
      </c>
      <c r="H7" s="11">
        <v>120</v>
      </c>
      <c r="I7" s="14" t="s">
        <v>202</v>
      </c>
      <c r="J7" s="2" t="s">
        <v>193</v>
      </c>
      <c r="K7" s="2" t="s">
        <v>11</v>
      </c>
    </row>
    <row r="8" spans="1:11" x14ac:dyDescent="0.3">
      <c r="A8" t="s">
        <v>511</v>
      </c>
      <c r="B8" t="s">
        <v>2</v>
      </c>
      <c r="C8" t="e">
        <f>#REF!</f>
        <v>#REF!</v>
      </c>
      <c r="D8" t="e">
        <f>#REF!</f>
        <v>#REF!</v>
      </c>
      <c r="E8" s="10" t="e" cm="1">
        <f t="array" ref="E8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8" s="6">
        <f>DCL_5[[#This Row],[time value]]*DCL_5[[#This Row],[multiplicator]]</f>
        <v>-110</v>
      </c>
      <c r="G8" s="11">
        <v>-1</v>
      </c>
      <c r="H8" s="30">
        <v>110</v>
      </c>
      <c r="I8" s="31" t="s">
        <v>202</v>
      </c>
      <c r="J8" s="32" t="s">
        <v>194</v>
      </c>
      <c r="K8" s="33" t="s">
        <v>11</v>
      </c>
    </row>
    <row r="9" spans="1:11" x14ac:dyDescent="0.3">
      <c r="A9" t="s">
        <v>511</v>
      </c>
      <c r="B9" t="s">
        <v>2</v>
      </c>
      <c r="C9" t="e">
        <f>#REF!</f>
        <v>#REF!</v>
      </c>
      <c r="D9" t="e">
        <f>#REF!</f>
        <v>#REF!</v>
      </c>
      <c r="E9" s="10" t="e" cm="1">
        <f t="array" ref="E9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9" s="6">
        <f>DCL_5[[#This Row],[time value]]*DCL_5[[#This Row],[multiplicator]]</f>
        <v>-105</v>
      </c>
      <c r="G9" s="11">
        <v>-1</v>
      </c>
      <c r="H9" s="26">
        <v>105</v>
      </c>
      <c r="I9" s="27" t="s">
        <v>202</v>
      </c>
      <c r="J9" s="28" t="s">
        <v>195</v>
      </c>
      <c r="K9" s="29" t="s">
        <v>11</v>
      </c>
    </row>
    <row r="10" spans="1:11" x14ac:dyDescent="0.3">
      <c r="A10" t="s">
        <v>511</v>
      </c>
      <c r="B10" t="s">
        <v>2</v>
      </c>
      <c r="C10" t="e">
        <f>#REF!</f>
        <v>#REF!</v>
      </c>
      <c r="D10" t="e">
        <f>#REF!</f>
        <v>#REF!</v>
      </c>
      <c r="E10" s="10" t="e" cm="1">
        <f t="array" ref="E10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0" s="6">
        <f>DCL_5[[#This Row],[time value]]*DCL_5[[#This Row],[multiplicator]]</f>
        <v>-100</v>
      </c>
      <c r="G10" s="11">
        <v>-1</v>
      </c>
      <c r="H10" s="30">
        <v>100</v>
      </c>
      <c r="I10" s="31" t="s">
        <v>202</v>
      </c>
      <c r="J10" s="32" t="s">
        <v>196</v>
      </c>
      <c r="K10" s="33" t="s">
        <v>11</v>
      </c>
    </row>
    <row r="11" spans="1:11" x14ac:dyDescent="0.3">
      <c r="A11" t="s">
        <v>511</v>
      </c>
      <c r="B11" t="s">
        <v>2</v>
      </c>
      <c r="C11" t="e">
        <f>#REF!</f>
        <v>#REF!</v>
      </c>
      <c r="D11" t="e">
        <f>#REF!</f>
        <v>#REF!</v>
      </c>
      <c r="E11" s="10" t="e" cm="1">
        <f t="array" ref="E11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1" s="6">
        <f>DCL_5[[#This Row],[time value]]*DCL_5[[#This Row],[multiplicator]]</f>
        <v>-95</v>
      </c>
      <c r="G11" s="11">
        <v>-1</v>
      </c>
      <c r="H11" s="26">
        <v>95</v>
      </c>
      <c r="I11" s="27" t="s">
        <v>202</v>
      </c>
      <c r="J11" s="28" t="s">
        <v>197</v>
      </c>
      <c r="K11" s="29" t="s">
        <v>80</v>
      </c>
    </row>
    <row r="12" spans="1:11" x14ac:dyDescent="0.3">
      <c r="A12" t="s">
        <v>511</v>
      </c>
      <c r="B12" t="s">
        <v>2</v>
      </c>
      <c r="C12" t="e">
        <f>#REF!</f>
        <v>#REF!</v>
      </c>
      <c r="D12" t="e">
        <f>#REF!</f>
        <v>#REF!</v>
      </c>
      <c r="E12" s="10" t="e" cm="1">
        <f t="array" ref="E12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2" s="6">
        <f>DCL_5[[#This Row],[time value]]*DCL_5[[#This Row],[multiplicator]]</f>
        <v>-90</v>
      </c>
      <c r="G12" s="11">
        <v>-1</v>
      </c>
      <c r="H12" s="30">
        <v>90</v>
      </c>
      <c r="I12" s="31" t="s">
        <v>202</v>
      </c>
      <c r="J12" s="32" t="s">
        <v>198</v>
      </c>
      <c r="K12" s="33" t="s">
        <v>11</v>
      </c>
    </row>
    <row r="13" spans="1:11" x14ac:dyDescent="0.3">
      <c r="A13" t="s">
        <v>511</v>
      </c>
      <c r="B13" t="s">
        <v>2</v>
      </c>
      <c r="C13" t="e">
        <f>#REF!</f>
        <v>#REF!</v>
      </c>
      <c r="D13" t="e">
        <f>#REF!</f>
        <v>#REF!</v>
      </c>
      <c r="E13" s="10" t="e" cm="1">
        <f t="array" ref="E13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3" s="6">
        <f>DCL_5[[#This Row],[time value]]*DCL_5[[#This Row],[multiplicator]]</f>
        <v>0</v>
      </c>
      <c r="G13" s="11">
        <v>1</v>
      </c>
      <c r="H13" s="11">
        <v>0</v>
      </c>
      <c r="I13" s="14" t="s">
        <v>202</v>
      </c>
      <c r="J13" s="2" t="s">
        <v>125</v>
      </c>
      <c r="K13" s="2"/>
    </row>
    <row r="14" spans="1:11" x14ac:dyDescent="0.3">
      <c r="A14" t="s">
        <v>511</v>
      </c>
      <c r="B14" t="s">
        <v>2</v>
      </c>
      <c r="C14" t="e">
        <f>#REF!</f>
        <v>#REF!</v>
      </c>
      <c r="D14" t="e">
        <f>#REF!</f>
        <v>#REF!</v>
      </c>
      <c r="E14" s="10" t="e" cm="1">
        <f t="array" ref="E14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4" s="6">
        <f>DCL_5[[#This Row],[time value]]*DCL_5[[#This Row],[multiplicator]]</f>
        <v>12</v>
      </c>
      <c r="G14" s="26">
        <v>1</v>
      </c>
      <c r="H14" s="26">
        <v>12</v>
      </c>
      <c r="I14" s="27" t="s">
        <v>202</v>
      </c>
      <c r="J14" s="2" t="s">
        <v>512</v>
      </c>
      <c r="K14" s="33" t="s">
        <v>11</v>
      </c>
    </row>
    <row r="15" spans="1:11" x14ac:dyDescent="0.3">
      <c r="A15" t="s">
        <v>511</v>
      </c>
      <c r="B15" t="s">
        <v>2</v>
      </c>
      <c r="C15" t="e">
        <f>#REF!</f>
        <v>#REF!</v>
      </c>
      <c r="D15" t="e">
        <f>#REF!</f>
        <v>#REF!</v>
      </c>
      <c r="E15" s="10" t="e" cm="1">
        <f t="array" ref="E15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5" s="6">
        <f>DCL_5[[#This Row],[time value]]*DCL_5[[#This Row],[multiplicator]]</f>
        <v>0</v>
      </c>
      <c r="G15" s="11">
        <v>1</v>
      </c>
      <c r="H15" s="11">
        <v>0</v>
      </c>
      <c r="I15" s="14" t="s">
        <v>202</v>
      </c>
      <c r="J15" s="2" t="s">
        <v>126</v>
      </c>
      <c r="K15" s="2" t="s">
        <v>80</v>
      </c>
    </row>
    <row r="16" spans="1:11" x14ac:dyDescent="0.3">
      <c r="A16" t="s">
        <v>511</v>
      </c>
      <c r="B16" t="s">
        <v>2</v>
      </c>
      <c r="C16" t="e">
        <f>#REF!</f>
        <v>#REF!</v>
      </c>
      <c r="D16" t="e">
        <f>#REF!</f>
        <v>#REF!</v>
      </c>
      <c r="E16" s="10" t="e" cm="1">
        <f t="array" ref="E16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6" s="6">
        <f>DCL_5[[#This Row],[time value]]*DCL_5[[#This Row],[multiplicator]]</f>
        <v>45</v>
      </c>
      <c r="G16" s="11">
        <v>1</v>
      </c>
      <c r="H16" s="11">
        <v>45</v>
      </c>
      <c r="I16" s="14" t="s">
        <v>202</v>
      </c>
      <c r="J16" s="2" t="s">
        <v>139</v>
      </c>
      <c r="K16" s="2"/>
    </row>
    <row r="17" spans="1:11" x14ac:dyDescent="0.3">
      <c r="A17" t="s">
        <v>511</v>
      </c>
      <c r="B17" t="s">
        <v>2</v>
      </c>
      <c r="C17" t="e">
        <f>#REF!</f>
        <v>#REF!</v>
      </c>
      <c r="D17" t="e">
        <f>#REF!</f>
        <v>#REF!</v>
      </c>
      <c r="E17" s="10" t="e" cm="1">
        <f t="array" ref="E17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7" s="6">
        <f>DCL_5[[#This Row],[time value]]*DCL_5[[#This Row],[multiplicator]]</f>
        <v>60</v>
      </c>
      <c r="G17" s="11">
        <v>1</v>
      </c>
      <c r="H17" s="11">
        <v>60</v>
      </c>
      <c r="I17" s="14" t="s">
        <v>202</v>
      </c>
      <c r="J17" s="2" t="s">
        <v>126</v>
      </c>
      <c r="K17" s="2" t="s">
        <v>80</v>
      </c>
    </row>
    <row r="18" spans="1:11" x14ac:dyDescent="0.3">
      <c r="A18" t="s">
        <v>511</v>
      </c>
      <c r="B18" t="s">
        <v>2</v>
      </c>
      <c r="C18" t="e">
        <f>#REF!</f>
        <v>#REF!</v>
      </c>
      <c r="D18" t="e">
        <f>#REF!</f>
        <v>#REF!</v>
      </c>
      <c r="E18" s="10" t="e" cm="1">
        <f t="array" ref="E18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8" s="6">
        <f>DCL_5[[#This Row],[time value]]*DCL_5[[#This Row],[multiplicator]]</f>
        <v>0</v>
      </c>
      <c r="G18" s="11">
        <v>1</v>
      </c>
      <c r="H18" s="11"/>
      <c r="I18" s="14" t="s">
        <v>494</v>
      </c>
      <c r="J18" s="2" t="s">
        <v>143</v>
      </c>
      <c r="K18" s="2"/>
    </row>
    <row r="19" spans="1:11" x14ac:dyDescent="0.3">
      <c r="A19" t="s">
        <v>511</v>
      </c>
      <c r="B19" t="s">
        <v>2</v>
      </c>
      <c r="C19" t="e">
        <f>#REF!</f>
        <v>#REF!</v>
      </c>
      <c r="D19" t="e">
        <f>#REF!</f>
        <v>#REF!</v>
      </c>
      <c r="E19" s="10" t="e" cm="1">
        <f t="array" ref="E19">_xlfn.IFS(DCL_5[[#This Row],[reference wisle]]="KO",#REF!+(DCL_5[[#This Row],[Time to KO]]/1440),DCL_5[[#This Row],[reference wisle]]="FW",#REF!+(DCL_5[[#This Row],[Time to KO]]/1440),DCL_5[[#This Row],[reference wisle]]="EOD","End of Day")</f>
        <v>#REF!</v>
      </c>
      <c r="F19" s="21">
        <f>DCL_5[[#This Row],[time value]]*DCL_5[[#This Row],[multiplicator]]</f>
        <v>60</v>
      </c>
      <c r="G19" s="11">
        <v>1</v>
      </c>
      <c r="H19" s="11">
        <v>60</v>
      </c>
      <c r="I19" s="14" t="s">
        <v>494</v>
      </c>
      <c r="J19" s="2" t="s">
        <v>513</v>
      </c>
      <c r="K19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E6F6-3213-B648-ACA6-0CB9E7C5B4E7}">
  <sheetPr>
    <tabColor theme="9" tint="0.79998168889431442"/>
  </sheetPr>
  <dimension ref="A1:K13"/>
  <sheetViews>
    <sheetView workbookViewId="0">
      <selection activeCell="J7" sqref="J7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6" width="13.09765625" style="1" customWidth="1"/>
    <col min="7" max="8" width="13.09765625" style="17" customWidth="1"/>
    <col min="9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514</v>
      </c>
      <c r="B2" t="s">
        <v>2</v>
      </c>
      <c r="C2" t="s">
        <v>30</v>
      </c>
      <c r="D2" t="e">
        <f>#REF!</f>
        <v>#REF!</v>
      </c>
      <c r="E2" s="10" t="e" cm="1">
        <f t="array" ref="E2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2" s="6">
        <f>ANTIP_A[[#This Row],[time value]]*ANTIP_A[[#This Row],[multiplicator]]</f>
        <v>-110</v>
      </c>
      <c r="G2" s="11">
        <v>-1</v>
      </c>
      <c r="H2" s="11">
        <v>110</v>
      </c>
      <c r="I2" s="12" t="s">
        <v>202</v>
      </c>
      <c r="J2" s="2" t="s">
        <v>70</v>
      </c>
      <c r="K2" s="2" t="s">
        <v>11</v>
      </c>
    </row>
    <row r="3" spans="1:11" x14ac:dyDescent="0.3">
      <c r="A3" t="s">
        <v>514</v>
      </c>
      <c r="B3" t="s">
        <v>2</v>
      </c>
      <c r="C3" t="s">
        <v>30</v>
      </c>
      <c r="D3" t="e">
        <f>#REF!</f>
        <v>#REF!</v>
      </c>
      <c r="E3" s="10" t="e" cm="1">
        <f t="array" ref="E3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3" s="6">
        <f>ANTIP_A[[#This Row],[time value]]*ANTIP_A[[#This Row],[multiplicator]]</f>
        <v>-105</v>
      </c>
      <c r="G3" s="11">
        <v>-1</v>
      </c>
      <c r="H3" s="11">
        <v>105</v>
      </c>
      <c r="I3" s="12" t="s">
        <v>202</v>
      </c>
      <c r="J3" s="2" t="s">
        <v>73</v>
      </c>
      <c r="K3" s="2" t="s">
        <v>11</v>
      </c>
    </row>
    <row r="4" spans="1:11" x14ac:dyDescent="0.3">
      <c r="A4" t="s">
        <v>514</v>
      </c>
      <c r="B4" t="s">
        <v>2</v>
      </c>
      <c r="C4" t="s">
        <v>30</v>
      </c>
      <c r="D4" t="e">
        <f>#REF!</f>
        <v>#REF!</v>
      </c>
      <c r="E4" s="10" t="e" cm="1">
        <f t="array" ref="E4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4" s="6">
        <f>ANTIP_A[[#This Row],[time value]]*ANTIP_A[[#This Row],[multiplicator]]</f>
        <v>-100</v>
      </c>
      <c r="G4" s="11">
        <v>-1</v>
      </c>
      <c r="H4" s="11">
        <v>100</v>
      </c>
      <c r="I4" s="12" t="s">
        <v>202</v>
      </c>
      <c r="J4" s="2" t="s">
        <v>77</v>
      </c>
      <c r="K4" s="2" t="s">
        <v>11</v>
      </c>
    </row>
    <row r="5" spans="1:11" x14ac:dyDescent="0.3">
      <c r="A5" t="s">
        <v>514</v>
      </c>
      <c r="B5" t="s">
        <v>2</v>
      </c>
      <c r="C5" t="s">
        <v>30</v>
      </c>
      <c r="D5" t="e">
        <f>#REF!</f>
        <v>#REF!</v>
      </c>
      <c r="E5" s="10" t="e" cm="1">
        <f t="array" ref="E5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5" s="6">
        <f>ANTIP_A[[#This Row],[time value]]*ANTIP_A[[#This Row],[multiplicator]]</f>
        <v>-95</v>
      </c>
      <c r="G5" s="11">
        <v>-1</v>
      </c>
      <c r="H5" s="11">
        <v>95</v>
      </c>
      <c r="I5" s="12" t="s">
        <v>202</v>
      </c>
      <c r="J5" s="2" t="s">
        <v>79</v>
      </c>
      <c r="K5" s="2" t="s">
        <v>80</v>
      </c>
    </row>
    <row r="6" spans="1:11" x14ac:dyDescent="0.3">
      <c r="A6" t="s">
        <v>514</v>
      </c>
      <c r="B6" t="s">
        <v>2</v>
      </c>
      <c r="C6" t="s">
        <v>30</v>
      </c>
      <c r="D6" t="e">
        <f>#REF!</f>
        <v>#REF!</v>
      </c>
      <c r="E6" s="10" t="e" cm="1">
        <f t="array" ref="E6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6" s="6">
        <f>ANTIP_A[[#This Row],[time value]]*ANTIP_A[[#This Row],[multiplicator]]</f>
        <v>-90</v>
      </c>
      <c r="G6" s="11">
        <v>-1</v>
      </c>
      <c r="H6" s="11">
        <v>90</v>
      </c>
      <c r="I6" s="12" t="s">
        <v>202</v>
      </c>
      <c r="J6" s="2" t="s">
        <v>84</v>
      </c>
      <c r="K6" s="2" t="s">
        <v>11</v>
      </c>
    </row>
    <row r="7" spans="1:11" x14ac:dyDescent="0.3">
      <c r="A7" t="s">
        <v>514</v>
      </c>
      <c r="B7" t="s">
        <v>2</v>
      </c>
      <c r="C7" t="s">
        <v>30</v>
      </c>
      <c r="D7" t="e">
        <f>#REF!</f>
        <v>#REF!</v>
      </c>
      <c r="E7" s="10" t="e" cm="1">
        <f t="array" ref="E7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7" s="6">
        <f>ANTIP_A[[#This Row],[time value]]*ANTIP_A[[#This Row],[multiplicator]]</f>
        <v>-60</v>
      </c>
      <c r="G7" s="11">
        <v>-1</v>
      </c>
      <c r="H7" s="11">
        <v>60</v>
      </c>
      <c r="I7" s="12" t="s">
        <v>202</v>
      </c>
      <c r="J7" s="2" t="s">
        <v>93</v>
      </c>
      <c r="K7" s="2" t="s">
        <v>11</v>
      </c>
    </row>
    <row r="8" spans="1:11" x14ac:dyDescent="0.3">
      <c r="A8" t="s">
        <v>514</v>
      </c>
      <c r="B8" t="s">
        <v>2</v>
      </c>
      <c r="C8" t="s">
        <v>30</v>
      </c>
      <c r="D8" t="e">
        <f>#REF!</f>
        <v>#REF!</v>
      </c>
      <c r="E8" s="10" t="e" cm="1">
        <f t="array" ref="E8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8" s="6">
        <f>ANTIP_A[[#This Row],[time value]]*ANTIP_A[[#This Row],[multiplicator]]</f>
        <v>0</v>
      </c>
      <c r="G8" s="11">
        <v>1</v>
      </c>
      <c r="H8" s="11">
        <v>0</v>
      </c>
      <c r="I8" s="12" t="s">
        <v>202</v>
      </c>
      <c r="J8" s="2" t="s">
        <v>125</v>
      </c>
      <c r="K8" s="2"/>
    </row>
    <row r="9" spans="1:11" x14ac:dyDescent="0.3">
      <c r="A9" t="s">
        <v>514</v>
      </c>
      <c r="B9" t="s">
        <v>2</v>
      </c>
      <c r="C9" t="s">
        <v>30</v>
      </c>
      <c r="D9" t="e">
        <f>#REF!</f>
        <v>#REF!</v>
      </c>
      <c r="E9" s="10" t="e" cm="1">
        <f t="array" ref="E9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9" s="6">
        <f>ANTIP_A[[#This Row],[time value]]*ANTIP_A[[#This Row],[multiplicator]]</f>
        <v>0</v>
      </c>
      <c r="G9" s="11">
        <v>1</v>
      </c>
      <c r="H9" s="11">
        <v>0</v>
      </c>
      <c r="I9" s="12" t="s">
        <v>202</v>
      </c>
      <c r="J9" s="2" t="s">
        <v>126</v>
      </c>
      <c r="K9" s="2" t="s">
        <v>80</v>
      </c>
    </row>
    <row r="10" spans="1:11" x14ac:dyDescent="0.3">
      <c r="A10" t="s">
        <v>514</v>
      </c>
      <c r="B10" t="s">
        <v>2</v>
      </c>
      <c r="C10" t="s">
        <v>30</v>
      </c>
      <c r="D10" t="e">
        <f>#REF!</f>
        <v>#REF!</v>
      </c>
      <c r="E10" s="10" t="e" cm="1">
        <f t="array" ref="E10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10" s="6">
        <f>ANTIP_A[[#This Row],[time value]]*ANTIP_A[[#This Row],[multiplicator]]</f>
        <v>45</v>
      </c>
      <c r="G10" s="11">
        <v>1</v>
      </c>
      <c r="H10" s="11">
        <v>45</v>
      </c>
      <c r="I10" s="12" t="s">
        <v>202</v>
      </c>
      <c r="J10" s="2" t="s">
        <v>139</v>
      </c>
      <c r="K10" s="2"/>
    </row>
    <row r="11" spans="1:11" x14ac:dyDescent="0.3">
      <c r="A11" t="s">
        <v>514</v>
      </c>
      <c r="B11" t="s">
        <v>2</v>
      </c>
      <c r="C11" t="s">
        <v>30</v>
      </c>
      <c r="D11" t="e">
        <f>#REF!</f>
        <v>#REF!</v>
      </c>
      <c r="E11" s="10" t="e" cm="1">
        <f t="array" ref="E11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11" s="6">
        <f>ANTIP_A[[#This Row],[time value]]*ANTIP_A[[#This Row],[multiplicator]]</f>
        <v>60</v>
      </c>
      <c r="G11" s="11">
        <v>1</v>
      </c>
      <c r="H11" s="11">
        <v>60</v>
      </c>
      <c r="I11" s="12" t="s">
        <v>202</v>
      </c>
      <c r="J11" s="2" t="s">
        <v>126</v>
      </c>
      <c r="K11" s="2" t="s">
        <v>80</v>
      </c>
    </row>
    <row r="12" spans="1:11" x14ac:dyDescent="0.3">
      <c r="A12" t="s">
        <v>514</v>
      </c>
      <c r="B12" t="s">
        <v>2</v>
      </c>
      <c r="C12" t="s">
        <v>30</v>
      </c>
      <c r="D12" t="e">
        <f>#REF!</f>
        <v>#REF!</v>
      </c>
      <c r="E12" s="10" t="e" cm="1">
        <f t="array" ref="E12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12" s="6">
        <f>ANTIP_A[[#This Row],[time value]]*ANTIP_A[[#This Row],[multiplicator]]</f>
        <v>0</v>
      </c>
      <c r="G12" s="11">
        <v>1</v>
      </c>
      <c r="H12" s="20"/>
      <c r="I12" s="12" t="s">
        <v>494</v>
      </c>
      <c r="J12" s="2" t="s">
        <v>143</v>
      </c>
      <c r="K12" s="2"/>
    </row>
    <row r="13" spans="1:11" x14ac:dyDescent="0.3">
      <c r="A13" t="s">
        <v>514</v>
      </c>
      <c r="B13" t="s">
        <v>2</v>
      </c>
      <c r="C13" t="s">
        <v>30</v>
      </c>
      <c r="D13" t="e">
        <f>#REF!</f>
        <v>#REF!</v>
      </c>
      <c r="E13" s="10" t="e" cm="1">
        <f t="array" ref="E13">_xlfn.IFS(ANTIP_A[[#This Row],[reference wisle]]="KO",#REF!+(ANTIP_A[[#This Row],[Time to KO]]/1440),ANTIP_A[[#This Row],[reference wisle]]="FW",#REF!+(ANTIP_A[[#This Row],[Time to KO]]/1440),ANTIP_A[[#This Row],[reference wisle]]="EOD","End of Day")</f>
        <v>#REF!</v>
      </c>
      <c r="F13" s="6">
        <f>ANTIP_A[[#This Row],[time value]]*ANTIP_A[[#This Row],[multiplicator]]</f>
        <v>15</v>
      </c>
      <c r="G13" s="11">
        <v>1</v>
      </c>
      <c r="H13" s="11">
        <v>15</v>
      </c>
      <c r="I13" s="13" t="s">
        <v>494</v>
      </c>
      <c r="J13" s="2" t="s">
        <v>146</v>
      </c>
      <c r="K13" s="2" t="s">
        <v>11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043C-5E65-2F4F-A784-2516F6DC896D}">
  <sheetPr>
    <tabColor theme="9" tint="0.79998168889431442"/>
  </sheetPr>
  <dimension ref="A1:K13"/>
  <sheetViews>
    <sheetView workbookViewId="0">
      <selection activeCell="J8" sqref="J8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514</v>
      </c>
      <c r="B2" t="s">
        <v>2</v>
      </c>
      <c r="C2" t="s">
        <v>91</v>
      </c>
      <c r="D2" t="e">
        <f>#REF!</f>
        <v>#REF!</v>
      </c>
      <c r="E2" s="10" t="e" cm="1">
        <f t="array" ref="E2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2" s="6">
        <f>ANTIP_B[[#This Row],[time value]]*ANTIP_B[[#This Row],[multiplicator]]</f>
        <v>-110</v>
      </c>
      <c r="G2" s="11">
        <v>-1</v>
      </c>
      <c r="H2" s="11">
        <v>110</v>
      </c>
      <c r="I2" s="12" t="s">
        <v>202</v>
      </c>
      <c r="J2" s="2" t="s">
        <v>70</v>
      </c>
      <c r="K2" s="2" t="s">
        <v>11</v>
      </c>
    </row>
    <row r="3" spans="1:11" x14ac:dyDescent="0.3">
      <c r="A3" t="s">
        <v>514</v>
      </c>
      <c r="B3" t="s">
        <v>2</v>
      </c>
      <c r="C3" t="s">
        <v>91</v>
      </c>
      <c r="D3" t="e">
        <f>#REF!</f>
        <v>#REF!</v>
      </c>
      <c r="E3" s="10" t="e" cm="1">
        <f t="array" ref="E3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3" s="6">
        <f>ANTIP_B[[#This Row],[time value]]*ANTIP_B[[#This Row],[multiplicator]]</f>
        <v>-105</v>
      </c>
      <c r="G3" s="11">
        <v>-1</v>
      </c>
      <c r="H3" s="11">
        <v>105</v>
      </c>
      <c r="I3" s="12" t="s">
        <v>202</v>
      </c>
      <c r="J3" s="2" t="s">
        <v>73</v>
      </c>
      <c r="K3" s="2" t="s">
        <v>11</v>
      </c>
    </row>
    <row r="4" spans="1:11" x14ac:dyDescent="0.3">
      <c r="A4" t="s">
        <v>514</v>
      </c>
      <c r="B4" t="s">
        <v>2</v>
      </c>
      <c r="C4" t="s">
        <v>91</v>
      </c>
      <c r="D4" t="e">
        <f>#REF!</f>
        <v>#REF!</v>
      </c>
      <c r="E4" s="10" t="e" cm="1">
        <f t="array" ref="E4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4" s="6">
        <f>ANTIP_B[[#This Row],[time value]]*ANTIP_B[[#This Row],[multiplicator]]</f>
        <v>-100</v>
      </c>
      <c r="G4" s="11">
        <v>-1</v>
      </c>
      <c r="H4" s="11">
        <v>100</v>
      </c>
      <c r="I4" s="12" t="s">
        <v>202</v>
      </c>
      <c r="J4" s="2" t="s">
        <v>77</v>
      </c>
      <c r="K4" s="2" t="s">
        <v>11</v>
      </c>
    </row>
    <row r="5" spans="1:11" x14ac:dyDescent="0.3">
      <c r="A5" t="s">
        <v>514</v>
      </c>
      <c r="B5" t="s">
        <v>2</v>
      </c>
      <c r="C5" t="s">
        <v>91</v>
      </c>
      <c r="D5" t="e">
        <f>#REF!</f>
        <v>#REF!</v>
      </c>
      <c r="E5" s="10" t="e" cm="1">
        <f t="array" ref="E5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5" s="6">
        <f>ANTIP_B[[#This Row],[time value]]*ANTIP_B[[#This Row],[multiplicator]]</f>
        <v>-95</v>
      </c>
      <c r="G5" s="11">
        <v>-1</v>
      </c>
      <c r="H5" s="11">
        <v>95</v>
      </c>
      <c r="I5" s="12" t="s">
        <v>202</v>
      </c>
      <c r="J5" s="2" t="s">
        <v>79</v>
      </c>
      <c r="K5" s="2" t="s">
        <v>80</v>
      </c>
    </row>
    <row r="6" spans="1:11" x14ac:dyDescent="0.3">
      <c r="A6" t="s">
        <v>514</v>
      </c>
      <c r="B6" t="s">
        <v>2</v>
      </c>
      <c r="C6" t="s">
        <v>91</v>
      </c>
      <c r="D6" t="e">
        <f>#REF!</f>
        <v>#REF!</v>
      </c>
      <c r="E6" s="10" t="e" cm="1">
        <f t="array" ref="E6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6" s="6">
        <f>ANTIP_B[[#This Row],[time value]]*ANTIP_B[[#This Row],[multiplicator]]</f>
        <v>-90</v>
      </c>
      <c r="G6" s="11">
        <v>-1</v>
      </c>
      <c r="H6" s="11">
        <v>90</v>
      </c>
      <c r="I6" s="12" t="s">
        <v>202</v>
      </c>
      <c r="J6" s="2" t="s">
        <v>84</v>
      </c>
      <c r="K6" s="2" t="s">
        <v>11</v>
      </c>
    </row>
    <row r="7" spans="1:11" x14ac:dyDescent="0.3">
      <c r="A7" t="s">
        <v>514</v>
      </c>
      <c r="B7" t="s">
        <v>2</v>
      </c>
      <c r="C7" t="s">
        <v>91</v>
      </c>
      <c r="D7" t="e">
        <f>#REF!</f>
        <v>#REF!</v>
      </c>
      <c r="E7" s="10" t="e" cm="1">
        <f t="array" ref="E7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7" s="6">
        <f>ANTIP_B[[#This Row],[time value]]*ANTIP_B[[#This Row],[multiplicator]]</f>
        <v>-60</v>
      </c>
      <c r="G7" s="11">
        <v>-1</v>
      </c>
      <c r="H7" s="11">
        <v>60</v>
      </c>
      <c r="I7" s="12" t="s">
        <v>202</v>
      </c>
      <c r="J7" s="2" t="s">
        <v>93</v>
      </c>
      <c r="K7" s="2" t="s">
        <v>11</v>
      </c>
    </row>
    <row r="8" spans="1:11" x14ac:dyDescent="0.3">
      <c r="A8" t="s">
        <v>514</v>
      </c>
      <c r="B8" t="s">
        <v>2</v>
      </c>
      <c r="C8" t="s">
        <v>91</v>
      </c>
      <c r="D8" t="e">
        <f>#REF!</f>
        <v>#REF!</v>
      </c>
      <c r="E8" s="10" t="e" cm="1">
        <f t="array" ref="E8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8" s="6">
        <f>ANTIP_B[[#This Row],[time value]]*ANTIP_B[[#This Row],[multiplicator]]</f>
        <v>0</v>
      </c>
      <c r="G8" s="11">
        <v>1</v>
      </c>
      <c r="H8" s="11">
        <v>0</v>
      </c>
      <c r="I8" s="12" t="s">
        <v>202</v>
      </c>
      <c r="J8" s="2" t="s">
        <v>125</v>
      </c>
      <c r="K8" s="2"/>
    </row>
    <row r="9" spans="1:11" x14ac:dyDescent="0.3">
      <c r="A9" t="s">
        <v>514</v>
      </c>
      <c r="B9" t="s">
        <v>2</v>
      </c>
      <c r="C9" t="s">
        <v>91</v>
      </c>
      <c r="D9" t="e">
        <f>#REF!</f>
        <v>#REF!</v>
      </c>
      <c r="E9" s="10" t="e" cm="1">
        <f t="array" ref="E9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9" s="6">
        <f>ANTIP_B[[#This Row],[time value]]*ANTIP_B[[#This Row],[multiplicator]]</f>
        <v>0</v>
      </c>
      <c r="G9" s="11">
        <v>1</v>
      </c>
      <c r="H9" s="11">
        <v>0</v>
      </c>
      <c r="I9" s="12" t="s">
        <v>202</v>
      </c>
      <c r="J9" s="2" t="s">
        <v>126</v>
      </c>
      <c r="K9" s="2" t="s">
        <v>80</v>
      </c>
    </row>
    <row r="10" spans="1:11" x14ac:dyDescent="0.3">
      <c r="A10" t="s">
        <v>514</v>
      </c>
      <c r="B10" t="s">
        <v>2</v>
      </c>
      <c r="C10" t="s">
        <v>91</v>
      </c>
      <c r="D10" t="e">
        <f>#REF!</f>
        <v>#REF!</v>
      </c>
      <c r="E10" s="10" t="e" cm="1">
        <f t="array" ref="E10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10" s="6">
        <f>ANTIP_B[[#This Row],[time value]]*ANTIP_B[[#This Row],[multiplicator]]</f>
        <v>45</v>
      </c>
      <c r="G10" s="11">
        <v>1</v>
      </c>
      <c r="H10" s="11">
        <v>45</v>
      </c>
      <c r="I10" s="12" t="s">
        <v>202</v>
      </c>
      <c r="J10" s="2" t="s">
        <v>139</v>
      </c>
      <c r="K10" s="2"/>
    </row>
    <row r="11" spans="1:11" x14ac:dyDescent="0.3">
      <c r="A11" t="s">
        <v>514</v>
      </c>
      <c r="B11" t="s">
        <v>2</v>
      </c>
      <c r="C11" t="s">
        <v>91</v>
      </c>
      <c r="D11" t="e">
        <f>#REF!</f>
        <v>#REF!</v>
      </c>
      <c r="E11" s="10" t="e" cm="1">
        <f t="array" ref="E11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11" s="6">
        <f>ANTIP_B[[#This Row],[time value]]*ANTIP_B[[#This Row],[multiplicator]]</f>
        <v>60</v>
      </c>
      <c r="G11" s="11">
        <v>1</v>
      </c>
      <c r="H11" s="11">
        <v>60</v>
      </c>
      <c r="I11" s="12" t="s">
        <v>202</v>
      </c>
      <c r="J11" s="2" t="s">
        <v>126</v>
      </c>
      <c r="K11" s="2" t="s">
        <v>80</v>
      </c>
    </row>
    <row r="12" spans="1:11" x14ac:dyDescent="0.3">
      <c r="A12" t="s">
        <v>514</v>
      </c>
      <c r="B12" t="s">
        <v>2</v>
      </c>
      <c r="C12" t="s">
        <v>91</v>
      </c>
      <c r="D12" t="e">
        <f>#REF!</f>
        <v>#REF!</v>
      </c>
      <c r="E12" s="10" t="e" cm="1">
        <f t="array" ref="E12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12" s="6">
        <f>ANTIP_B[[#This Row],[time value]]*ANTIP_B[[#This Row],[multiplicator]]</f>
        <v>0</v>
      </c>
      <c r="G12" s="11">
        <v>1</v>
      </c>
      <c r="H12" s="20"/>
      <c r="I12" s="12" t="s">
        <v>494</v>
      </c>
      <c r="J12" s="2" t="s">
        <v>143</v>
      </c>
      <c r="K12" s="2"/>
    </row>
    <row r="13" spans="1:11" x14ac:dyDescent="0.3">
      <c r="A13" t="s">
        <v>514</v>
      </c>
      <c r="B13" t="s">
        <v>2</v>
      </c>
      <c r="C13" t="s">
        <v>91</v>
      </c>
      <c r="D13" t="e">
        <f>#REF!</f>
        <v>#REF!</v>
      </c>
      <c r="E13" s="10" t="e" cm="1">
        <f t="array" ref="E13">_xlfn.IFS(ANTIP_B[[#This Row],[reference wisle]]="KO",#REF!+(ANTIP_B[[#This Row],[Time to KO]]/1440),ANTIP_B[[#This Row],[reference wisle]]="FW",#REF!+(ANTIP_B[[#This Row],[Time to KO]]/1440),ANTIP_B[[#This Row],[reference wisle]]="EOD","End of Day")</f>
        <v>#REF!</v>
      </c>
      <c r="F13" s="6">
        <f>ANTIP_B[[#This Row],[time value]]*ANTIP_B[[#This Row],[multiplicator]]</f>
        <v>15</v>
      </c>
      <c r="G13" s="11">
        <v>1</v>
      </c>
      <c r="H13" s="11">
        <v>15</v>
      </c>
      <c r="I13" s="13" t="s">
        <v>494</v>
      </c>
      <c r="J13" s="2" t="s">
        <v>146</v>
      </c>
      <c r="K13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8027-A65E-CA4A-9B47-5C96464B3F27}">
  <sheetPr>
    <tabColor theme="9" tint="0.79998168889431442"/>
  </sheetPr>
  <dimension ref="A1:K13"/>
  <sheetViews>
    <sheetView workbookViewId="0">
      <selection activeCell="H7" sqref="H7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514</v>
      </c>
      <c r="B2" t="s">
        <v>2</v>
      </c>
      <c r="C2" t="s">
        <v>144</v>
      </c>
      <c r="D2" t="e">
        <f>#REF!</f>
        <v>#REF!</v>
      </c>
      <c r="E2" s="10" t="e" cm="1">
        <f t="array" ref="E2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2" s="6">
        <f>ANTIP_C[[#This Row],[time value]]*ANTIP_C[[#This Row],[multiplicator]]</f>
        <v>-110</v>
      </c>
      <c r="G2" s="11">
        <v>-1</v>
      </c>
      <c r="H2" s="11">
        <v>110</v>
      </c>
      <c r="I2" s="12" t="s">
        <v>202</v>
      </c>
      <c r="J2" s="2" t="s">
        <v>70</v>
      </c>
      <c r="K2" s="2" t="s">
        <v>11</v>
      </c>
    </row>
    <row r="3" spans="1:11" x14ac:dyDescent="0.3">
      <c r="A3" t="s">
        <v>514</v>
      </c>
      <c r="B3" t="s">
        <v>2</v>
      </c>
      <c r="C3" t="s">
        <v>144</v>
      </c>
      <c r="D3" t="e">
        <f>#REF!</f>
        <v>#REF!</v>
      </c>
      <c r="E3" s="10" t="e" cm="1">
        <f t="array" ref="E3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3" s="6">
        <f>ANTIP_C[[#This Row],[time value]]*ANTIP_C[[#This Row],[multiplicator]]</f>
        <v>-105</v>
      </c>
      <c r="G3" s="11">
        <v>-1</v>
      </c>
      <c r="H3" s="11">
        <v>105</v>
      </c>
      <c r="I3" s="12" t="s">
        <v>202</v>
      </c>
      <c r="J3" s="2" t="s">
        <v>73</v>
      </c>
      <c r="K3" s="2" t="s">
        <v>11</v>
      </c>
    </row>
    <row r="4" spans="1:11" x14ac:dyDescent="0.3">
      <c r="A4" t="s">
        <v>514</v>
      </c>
      <c r="B4" t="s">
        <v>2</v>
      </c>
      <c r="C4" t="s">
        <v>144</v>
      </c>
      <c r="D4" t="e">
        <f>#REF!</f>
        <v>#REF!</v>
      </c>
      <c r="E4" s="10" t="e" cm="1">
        <f t="array" ref="E4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4" s="6">
        <f>ANTIP_C[[#This Row],[time value]]*ANTIP_C[[#This Row],[multiplicator]]</f>
        <v>-100</v>
      </c>
      <c r="G4" s="11">
        <v>-1</v>
      </c>
      <c r="H4" s="11">
        <v>100</v>
      </c>
      <c r="I4" s="12" t="s">
        <v>202</v>
      </c>
      <c r="J4" s="2" t="s">
        <v>77</v>
      </c>
      <c r="K4" s="2" t="s">
        <v>11</v>
      </c>
    </row>
    <row r="5" spans="1:11" x14ac:dyDescent="0.3">
      <c r="A5" t="s">
        <v>514</v>
      </c>
      <c r="B5" t="s">
        <v>2</v>
      </c>
      <c r="C5" t="s">
        <v>144</v>
      </c>
      <c r="D5" t="e">
        <f>#REF!</f>
        <v>#REF!</v>
      </c>
      <c r="E5" s="10" t="e" cm="1">
        <f t="array" ref="E5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5" s="6">
        <f>ANTIP_C[[#This Row],[time value]]*ANTIP_C[[#This Row],[multiplicator]]</f>
        <v>-95</v>
      </c>
      <c r="G5" s="11">
        <v>-1</v>
      </c>
      <c r="H5" s="11">
        <v>95</v>
      </c>
      <c r="I5" s="12" t="s">
        <v>202</v>
      </c>
      <c r="J5" s="2" t="s">
        <v>79</v>
      </c>
      <c r="K5" s="2" t="s">
        <v>80</v>
      </c>
    </row>
    <row r="6" spans="1:11" x14ac:dyDescent="0.3">
      <c r="A6" t="s">
        <v>514</v>
      </c>
      <c r="B6" t="s">
        <v>2</v>
      </c>
      <c r="C6" t="s">
        <v>144</v>
      </c>
      <c r="D6" t="e">
        <f>#REF!</f>
        <v>#REF!</v>
      </c>
      <c r="E6" s="10" t="e" cm="1">
        <f t="array" ref="E6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6" s="6">
        <f>ANTIP_C[[#This Row],[time value]]*ANTIP_C[[#This Row],[multiplicator]]</f>
        <v>-90</v>
      </c>
      <c r="G6" s="11">
        <v>-1</v>
      </c>
      <c r="H6" s="11">
        <v>90</v>
      </c>
      <c r="I6" s="12" t="s">
        <v>202</v>
      </c>
      <c r="J6" s="2" t="s">
        <v>84</v>
      </c>
      <c r="K6" s="2" t="s">
        <v>11</v>
      </c>
    </row>
    <row r="7" spans="1:11" x14ac:dyDescent="0.3">
      <c r="A7" t="s">
        <v>514</v>
      </c>
      <c r="B7" t="s">
        <v>2</v>
      </c>
      <c r="C7" t="s">
        <v>144</v>
      </c>
      <c r="D7" t="e">
        <f>#REF!</f>
        <v>#REF!</v>
      </c>
      <c r="E7" s="10" t="e" cm="1">
        <f t="array" ref="E7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7" s="6">
        <f>ANTIP_C[[#This Row],[time value]]*ANTIP_C[[#This Row],[multiplicator]]</f>
        <v>-60</v>
      </c>
      <c r="G7" s="11">
        <v>-1</v>
      </c>
      <c r="H7" s="11">
        <v>60</v>
      </c>
      <c r="I7" s="12" t="s">
        <v>202</v>
      </c>
      <c r="J7" s="2" t="s">
        <v>93</v>
      </c>
      <c r="K7" s="2" t="s">
        <v>11</v>
      </c>
    </row>
    <row r="8" spans="1:11" x14ac:dyDescent="0.3">
      <c r="A8" t="s">
        <v>514</v>
      </c>
      <c r="B8" t="s">
        <v>2</v>
      </c>
      <c r="C8" t="s">
        <v>144</v>
      </c>
      <c r="D8" t="e">
        <f>#REF!</f>
        <v>#REF!</v>
      </c>
      <c r="E8" s="10" t="e" cm="1">
        <f t="array" ref="E8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8" s="6">
        <f>ANTIP_C[[#This Row],[time value]]*ANTIP_C[[#This Row],[multiplicator]]</f>
        <v>0</v>
      </c>
      <c r="G8" s="11">
        <v>1</v>
      </c>
      <c r="H8" s="11">
        <v>0</v>
      </c>
      <c r="I8" s="12" t="s">
        <v>202</v>
      </c>
      <c r="J8" s="2" t="s">
        <v>125</v>
      </c>
      <c r="K8" s="2"/>
    </row>
    <row r="9" spans="1:11" x14ac:dyDescent="0.3">
      <c r="A9" t="s">
        <v>514</v>
      </c>
      <c r="B9" t="s">
        <v>2</v>
      </c>
      <c r="C9" t="s">
        <v>144</v>
      </c>
      <c r="D9" t="e">
        <f>#REF!</f>
        <v>#REF!</v>
      </c>
      <c r="E9" s="10" t="e" cm="1">
        <f t="array" ref="E9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9" s="6">
        <f>ANTIP_C[[#This Row],[time value]]*ANTIP_C[[#This Row],[multiplicator]]</f>
        <v>0</v>
      </c>
      <c r="G9" s="11">
        <v>1</v>
      </c>
      <c r="H9" s="11">
        <v>0</v>
      </c>
      <c r="I9" s="12" t="s">
        <v>202</v>
      </c>
      <c r="J9" s="2" t="s">
        <v>126</v>
      </c>
      <c r="K9" s="2" t="s">
        <v>80</v>
      </c>
    </row>
    <row r="10" spans="1:11" x14ac:dyDescent="0.3">
      <c r="A10" t="s">
        <v>514</v>
      </c>
      <c r="B10" t="s">
        <v>2</v>
      </c>
      <c r="C10" t="s">
        <v>144</v>
      </c>
      <c r="D10" t="e">
        <f>#REF!</f>
        <v>#REF!</v>
      </c>
      <c r="E10" s="10" t="e" cm="1">
        <f t="array" ref="E10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10" s="6">
        <f>ANTIP_C[[#This Row],[time value]]*ANTIP_C[[#This Row],[multiplicator]]</f>
        <v>45</v>
      </c>
      <c r="G10" s="11">
        <v>1</v>
      </c>
      <c r="H10" s="11">
        <v>45</v>
      </c>
      <c r="I10" s="12" t="s">
        <v>202</v>
      </c>
      <c r="J10" s="2" t="s">
        <v>139</v>
      </c>
      <c r="K10" s="2"/>
    </row>
    <row r="11" spans="1:11" x14ac:dyDescent="0.3">
      <c r="A11" t="s">
        <v>514</v>
      </c>
      <c r="B11" t="s">
        <v>2</v>
      </c>
      <c r="C11" t="s">
        <v>144</v>
      </c>
      <c r="D11" t="e">
        <f>#REF!</f>
        <v>#REF!</v>
      </c>
      <c r="E11" s="10" t="e" cm="1">
        <f t="array" ref="E11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11" s="6">
        <f>ANTIP_C[[#This Row],[time value]]*ANTIP_C[[#This Row],[multiplicator]]</f>
        <v>60</v>
      </c>
      <c r="G11" s="11">
        <v>1</v>
      </c>
      <c r="H11" s="11">
        <v>60</v>
      </c>
      <c r="I11" s="12" t="s">
        <v>202</v>
      </c>
      <c r="J11" s="2" t="s">
        <v>126</v>
      </c>
      <c r="K11" s="2" t="s">
        <v>80</v>
      </c>
    </row>
    <row r="12" spans="1:11" x14ac:dyDescent="0.3">
      <c r="A12" t="s">
        <v>514</v>
      </c>
      <c r="B12" t="s">
        <v>2</v>
      </c>
      <c r="C12" t="s">
        <v>144</v>
      </c>
      <c r="D12" t="e">
        <f>#REF!</f>
        <v>#REF!</v>
      </c>
      <c r="E12" s="10" t="e" cm="1">
        <f t="array" ref="E12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12" s="6">
        <f>ANTIP_C[[#This Row],[time value]]*ANTIP_C[[#This Row],[multiplicator]]</f>
        <v>0</v>
      </c>
      <c r="G12" s="11">
        <v>1</v>
      </c>
      <c r="H12" s="20"/>
      <c r="I12" s="12" t="s">
        <v>494</v>
      </c>
      <c r="J12" s="2" t="s">
        <v>143</v>
      </c>
      <c r="K12" s="2"/>
    </row>
    <row r="13" spans="1:11" x14ac:dyDescent="0.3">
      <c r="A13" t="s">
        <v>514</v>
      </c>
      <c r="B13" t="s">
        <v>2</v>
      </c>
      <c r="C13" t="s">
        <v>144</v>
      </c>
      <c r="D13" t="e">
        <f>#REF!</f>
        <v>#REF!</v>
      </c>
      <c r="E13" s="10" t="e" cm="1">
        <f t="array" ref="E13">_xlfn.IFS(ANTIP_C[[#This Row],[reference wisle]]="KO",#REF!+(ANTIP_C[[#This Row],[Time to KO]]/1440),ANTIP_C[[#This Row],[reference wisle]]="FW",#REF!+(ANTIP_C[[#This Row],[Time to KO]]/1440),ANTIP_C[[#This Row],[reference wisle]]="EOD","End of Day")</f>
        <v>#REF!</v>
      </c>
      <c r="F13" s="6">
        <f>ANTIP_C[[#This Row],[time value]]*ANTIP_C[[#This Row],[multiplicator]]</f>
        <v>15</v>
      </c>
      <c r="G13" s="11">
        <v>1</v>
      </c>
      <c r="H13" s="11">
        <v>15</v>
      </c>
      <c r="I13" s="13" t="s">
        <v>494</v>
      </c>
      <c r="J13" s="2" t="s">
        <v>146</v>
      </c>
      <c r="K13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BF55-5FA7-F04B-9B7D-2FF4DDB51E4C}">
  <sheetPr>
    <tabColor theme="9" tint="0.79998168889431442"/>
  </sheetPr>
  <dimension ref="A1:K13"/>
  <sheetViews>
    <sheetView workbookViewId="0">
      <selection activeCell="J7" sqref="J7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514</v>
      </c>
      <c r="B2" t="s">
        <v>2</v>
      </c>
      <c r="C2" t="s">
        <v>170</v>
      </c>
      <c r="D2" t="e">
        <f>#REF!</f>
        <v>#REF!</v>
      </c>
      <c r="E2" s="10" t="e" cm="1">
        <f t="array" ref="E2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2" s="6">
        <f>ANTIP_D[[#This Row],[time value]]*ANTIP_D[[#This Row],[multiplicator]]</f>
        <v>-110</v>
      </c>
      <c r="G2" s="11">
        <v>-1</v>
      </c>
      <c r="H2" s="11">
        <v>110</v>
      </c>
      <c r="I2" s="12" t="s">
        <v>202</v>
      </c>
      <c r="J2" s="2" t="s">
        <v>70</v>
      </c>
      <c r="K2" s="2" t="s">
        <v>11</v>
      </c>
    </row>
    <row r="3" spans="1:11" x14ac:dyDescent="0.3">
      <c r="A3" t="s">
        <v>514</v>
      </c>
      <c r="B3" t="s">
        <v>2</v>
      </c>
      <c r="C3" t="s">
        <v>170</v>
      </c>
      <c r="D3" t="e">
        <f>#REF!</f>
        <v>#REF!</v>
      </c>
      <c r="E3" s="10" t="e" cm="1">
        <f t="array" ref="E3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3" s="6">
        <f>ANTIP_D[[#This Row],[time value]]*ANTIP_D[[#This Row],[multiplicator]]</f>
        <v>-105</v>
      </c>
      <c r="G3" s="11">
        <v>-1</v>
      </c>
      <c r="H3" s="11">
        <v>105</v>
      </c>
      <c r="I3" s="12" t="s">
        <v>202</v>
      </c>
      <c r="J3" s="2" t="s">
        <v>73</v>
      </c>
      <c r="K3" s="2" t="s">
        <v>11</v>
      </c>
    </row>
    <row r="4" spans="1:11" x14ac:dyDescent="0.3">
      <c r="A4" t="s">
        <v>514</v>
      </c>
      <c r="B4" t="s">
        <v>2</v>
      </c>
      <c r="C4" t="s">
        <v>170</v>
      </c>
      <c r="D4" t="e">
        <f>#REF!</f>
        <v>#REF!</v>
      </c>
      <c r="E4" s="10" t="e" cm="1">
        <f t="array" ref="E4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4" s="6">
        <f>ANTIP_D[[#This Row],[time value]]*ANTIP_D[[#This Row],[multiplicator]]</f>
        <v>-100</v>
      </c>
      <c r="G4" s="11">
        <v>-1</v>
      </c>
      <c r="H4" s="11">
        <v>100</v>
      </c>
      <c r="I4" s="12" t="s">
        <v>202</v>
      </c>
      <c r="J4" s="2" t="s">
        <v>77</v>
      </c>
      <c r="K4" s="2" t="s">
        <v>11</v>
      </c>
    </row>
    <row r="5" spans="1:11" x14ac:dyDescent="0.3">
      <c r="A5" t="s">
        <v>514</v>
      </c>
      <c r="B5" t="s">
        <v>2</v>
      </c>
      <c r="C5" t="s">
        <v>170</v>
      </c>
      <c r="D5" t="e">
        <f>#REF!</f>
        <v>#REF!</v>
      </c>
      <c r="E5" s="10" t="e" cm="1">
        <f t="array" ref="E5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5" s="6">
        <f>ANTIP_D[[#This Row],[time value]]*ANTIP_D[[#This Row],[multiplicator]]</f>
        <v>-95</v>
      </c>
      <c r="G5" s="11">
        <v>-1</v>
      </c>
      <c r="H5" s="11">
        <v>95</v>
      </c>
      <c r="I5" s="12" t="s">
        <v>202</v>
      </c>
      <c r="J5" s="2" t="s">
        <v>79</v>
      </c>
      <c r="K5" s="2" t="s">
        <v>80</v>
      </c>
    </row>
    <row r="6" spans="1:11" x14ac:dyDescent="0.3">
      <c r="A6" t="s">
        <v>514</v>
      </c>
      <c r="B6" t="s">
        <v>2</v>
      </c>
      <c r="C6" t="s">
        <v>170</v>
      </c>
      <c r="D6" t="e">
        <f>#REF!</f>
        <v>#REF!</v>
      </c>
      <c r="E6" s="10" t="e" cm="1">
        <f t="array" ref="E6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6" s="6">
        <f>ANTIP_D[[#This Row],[time value]]*ANTIP_D[[#This Row],[multiplicator]]</f>
        <v>-90</v>
      </c>
      <c r="G6" s="11">
        <v>-1</v>
      </c>
      <c r="H6" s="11">
        <v>90</v>
      </c>
      <c r="I6" s="12" t="s">
        <v>202</v>
      </c>
      <c r="J6" s="2" t="s">
        <v>84</v>
      </c>
      <c r="K6" s="2" t="s">
        <v>11</v>
      </c>
    </row>
    <row r="7" spans="1:11" x14ac:dyDescent="0.3">
      <c r="A7" t="s">
        <v>514</v>
      </c>
      <c r="B7" t="s">
        <v>2</v>
      </c>
      <c r="C7" t="s">
        <v>170</v>
      </c>
      <c r="D7" t="e">
        <f>#REF!</f>
        <v>#REF!</v>
      </c>
      <c r="E7" s="10" t="e" cm="1">
        <f t="array" ref="E7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7" s="6">
        <f>ANTIP_D[[#This Row],[time value]]*ANTIP_D[[#This Row],[multiplicator]]</f>
        <v>-60</v>
      </c>
      <c r="G7" s="11">
        <v>-1</v>
      </c>
      <c r="H7" s="11">
        <v>60</v>
      </c>
      <c r="I7" s="12" t="s">
        <v>202</v>
      </c>
      <c r="J7" s="2" t="s">
        <v>93</v>
      </c>
      <c r="K7" s="2" t="s">
        <v>11</v>
      </c>
    </row>
    <row r="8" spans="1:11" x14ac:dyDescent="0.3">
      <c r="A8" t="s">
        <v>514</v>
      </c>
      <c r="B8" t="s">
        <v>2</v>
      </c>
      <c r="C8" t="s">
        <v>170</v>
      </c>
      <c r="D8" t="e">
        <f>#REF!</f>
        <v>#REF!</v>
      </c>
      <c r="E8" s="10" t="e" cm="1">
        <f t="array" ref="E8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8" s="6">
        <f>ANTIP_D[[#This Row],[time value]]*ANTIP_D[[#This Row],[multiplicator]]</f>
        <v>0</v>
      </c>
      <c r="G8" s="11">
        <v>1</v>
      </c>
      <c r="H8" s="11">
        <v>0</v>
      </c>
      <c r="I8" s="12" t="s">
        <v>202</v>
      </c>
      <c r="J8" s="2" t="s">
        <v>125</v>
      </c>
      <c r="K8" s="2"/>
    </row>
    <row r="9" spans="1:11" x14ac:dyDescent="0.3">
      <c r="A9" t="s">
        <v>514</v>
      </c>
      <c r="B9" t="s">
        <v>2</v>
      </c>
      <c r="C9" t="s">
        <v>170</v>
      </c>
      <c r="D9" t="e">
        <f>#REF!</f>
        <v>#REF!</v>
      </c>
      <c r="E9" s="10" t="e" cm="1">
        <f t="array" ref="E9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9" s="6">
        <f>ANTIP_D[[#This Row],[time value]]*ANTIP_D[[#This Row],[multiplicator]]</f>
        <v>0</v>
      </c>
      <c r="G9" s="11">
        <v>1</v>
      </c>
      <c r="H9" s="11">
        <v>0</v>
      </c>
      <c r="I9" s="12" t="s">
        <v>202</v>
      </c>
      <c r="J9" s="2" t="s">
        <v>126</v>
      </c>
      <c r="K9" s="2" t="s">
        <v>80</v>
      </c>
    </row>
    <row r="10" spans="1:11" x14ac:dyDescent="0.3">
      <c r="A10" t="s">
        <v>514</v>
      </c>
      <c r="B10" t="s">
        <v>2</v>
      </c>
      <c r="C10" t="s">
        <v>170</v>
      </c>
      <c r="D10" t="e">
        <f>#REF!</f>
        <v>#REF!</v>
      </c>
      <c r="E10" s="10" t="e" cm="1">
        <f t="array" ref="E10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10" s="6">
        <f>ANTIP_D[[#This Row],[time value]]*ANTIP_D[[#This Row],[multiplicator]]</f>
        <v>45</v>
      </c>
      <c r="G10" s="11">
        <v>1</v>
      </c>
      <c r="H10" s="11">
        <v>45</v>
      </c>
      <c r="I10" s="12" t="s">
        <v>202</v>
      </c>
      <c r="J10" s="2" t="s">
        <v>139</v>
      </c>
      <c r="K10" s="2"/>
    </row>
    <row r="11" spans="1:11" x14ac:dyDescent="0.3">
      <c r="A11" t="s">
        <v>514</v>
      </c>
      <c r="B11" t="s">
        <v>2</v>
      </c>
      <c r="C11" t="s">
        <v>170</v>
      </c>
      <c r="D11" t="e">
        <f>#REF!</f>
        <v>#REF!</v>
      </c>
      <c r="E11" s="10" t="e" cm="1">
        <f t="array" ref="E11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11" s="6">
        <f>ANTIP_D[[#This Row],[time value]]*ANTIP_D[[#This Row],[multiplicator]]</f>
        <v>60</v>
      </c>
      <c r="G11" s="11">
        <v>1</v>
      </c>
      <c r="H11" s="11">
        <v>60</v>
      </c>
      <c r="I11" s="12" t="s">
        <v>202</v>
      </c>
      <c r="J11" s="2" t="s">
        <v>126</v>
      </c>
      <c r="K11" s="2" t="s">
        <v>80</v>
      </c>
    </row>
    <row r="12" spans="1:11" x14ac:dyDescent="0.3">
      <c r="A12" t="s">
        <v>514</v>
      </c>
      <c r="B12" t="s">
        <v>2</v>
      </c>
      <c r="C12" t="s">
        <v>170</v>
      </c>
      <c r="D12" t="e">
        <f>#REF!</f>
        <v>#REF!</v>
      </c>
      <c r="E12" s="10" t="e" cm="1">
        <f t="array" ref="E12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12" s="6">
        <f>ANTIP_D[[#This Row],[time value]]*ANTIP_D[[#This Row],[multiplicator]]</f>
        <v>0</v>
      </c>
      <c r="G12" s="11">
        <v>1</v>
      </c>
      <c r="H12" s="20"/>
      <c r="I12" s="12" t="s">
        <v>494</v>
      </c>
      <c r="J12" s="2" t="s">
        <v>143</v>
      </c>
      <c r="K12" s="2"/>
    </row>
    <row r="13" spans="1:11" x14ac:dyDescent="0.3">
      <c r="A13" t="s">
        <v>514</v>
      </c>
      <c r="B13" t="s">
        <v>2</v>
      </c>
      <c r="C13" t="s">
        <v>170</v>
      </c>
      <c r="D13" t="e">
        <f>#REF!</f>
        <v>#REF!</v>
      </c>
      <c r="E13" s="10" t="e" cm="1">
        <f t="array" ref="E13">_xlfn.IFS(ANTIP_D[[#This Row],[reference wisle]]="KO",#REF!+(ANTIP_D[[#This Row],[Time to KO]]/1440),ANTIP_D[[#This Row],[reference wisle]]="FW",#REF!+(ANTIP_D[[#This Row],[Time to KO]]/1440),ANTIP_D[[#This Row],[reference wisle]]="EOD","End of Day")</f>
        <v>#REF!</v>
      </c>
      <c r="F13" s="6">
        <f>ANTIP_D[[#This Row],[time value]]*ANTIP_D[[#This Row],[multiplicator]]</f>
        <v>15</v>
      </c>
      <c r="G13" s="11">
        <v>1</v>
      </c>
      <c r="H13" s="11">
        <v>15</v>
      </c>
      <c r="I13" s="13" t="s">
        <v>494</v>
      </c>
      <c r="J13" s="2" t="s">
        <v>146</v>
      </c>
      <c r="K13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57DB-F4F1-614F-AD1B-56177621800E}">
  <sheetPr>
    <tabColor theme="8" tint="0.79998168889431442"/>
  </sheetPr>
  <dimension ref="A1:K20"/>
  <sheetViews>
    <sheetView workbookViewId="0">
      <selection activeCell="L1" sqref="L1"/>
    </sheetView>
  </sheetViews>
  <sheetFormatPr defaultColWidth="11" defaultRowHeight="15.6" x14ac:dyDescent="0.3"/>
  <cols>
    <col min="1" max="1" width="17.09765625" bestFit="1" customWidth="1"/>
    <col min="2" max="4" width="17.09765625" customWidth="1"/>
    <col min="5" max="5" width="17.09765625" style="10" customWidth="1"/>
    <col min="6" max="6" width="13.09765625" style="1" customWidth="1"/>
    <col min="7" max="8" width="13.09765625" style="17" customWidth="1"/>
    <col min="9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515</v>
      </c>
      <c r="B2" t="s">
        <v>2</v>
      </c>
      <c r="C2" t="s">
        <v>30</v>
      </c>
      <c r="D2" t="e">
        <f>#REF!</f>
        <v>#REF!</v>
      </c>
      <c r="E2" s="10" t="e" cm="1">
        <f t="array" ref="E2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2" s="6">
        <f>FCO_A[[#This Row],[time value]]*FCO_A[[#This Row],[multiplicator]]</f>
        <v>-50</v>
      </c>
      <c r="G2" s="11">
        <v>-1</v>
      </c>
      <c r="H2" s="11">
        <v>50</v>
      </c>
      <c r="I2" s="12" t="s">
        <v>202</v>
      </c>
      <c r="J2" s="2" t="s">
        <v>99</v>
      </c>
      <c r="K2" s="2" t="s">
        <v>100</v>
      </c>
    </row>
    <row r="3" spans="1:11" x14ac:dyDescent="0.3">
      <c r="A3" t="s">
        <v>515</v>
      </c>
      <c r="B3" t="s">
        <v>2</v>
      </c>
      <c r="C3" t="s">
        <v>30</v>
      </c>
      <c r="D3" t="e">
        <f>#REF!</f>
        <v>#REF!</v>
      </c>
      <c r="E3" s="10" t="e" cm="1">
        <f t="array" ref="E3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3" s="6">
        <f>FCO_A[[#This Row],[time value]]*FCO_A[[#This Row],[multiplicator]]</f>
        <v>-45</v>
      </c>
      <c r="G3" s="11">
        <v>-1</v>
      </c>
      <c r="H3" s="11">
        <v>45</v>
      </c>
      <c r="I3" s="12" t="s">
        <v>202</v>
      </c>
      <c r="J3" s="2" t="s">
        <v>103</v>
      </c>
      <c r="K3" s="2" t="s">
        <v>11</v>
      </c>
    </row>
    <row r="4" spans="1:11" x14ac:dyDescent="0.3">
      <c r="A4" t="s">
        <v>515</v>
      </c>
      <c r="B4" t="s">
        <v>2</v>
      </c>
      <c r="C4" t="s">
        <v>30</v>
      </c>
      <c r="D4" t="e">
        <f>#REF!</f>
        <v>#REF!</v>
      </c>
      <c r="E4" s="10" t="e" cm="1">
        <f t="array" ref="E4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4" s="6">
        <f>FCO_A[[#This Row],[time value]]*FCO_A[[#This Row],[multiplicator]]</f>
        <v>-40</v>
      </c>
      <c r="G4" s="11">
        <v>-1</v>
      </c>
      <c r="H4" s="11">
        <v>40</v>
      </c>
      <c r="I4" s="12" t="s">
        <v>202</v>
      </c>
      <c r="J4" s="2" t="s">
        <v>108</v>
      </c>
      <c r="K4" s="2" t="s">
        <v>11</v>
      </c>
    </row>
    <row r="5" spans="1:11" x14ac:dyDescent="0.3">
      <c r="A5" t="s">
        <v>515</v>
      </c>
      <c r="B5" t="s">
        <v>2</v>
      </c>
      <c r="C5" t="s">
        <v>30</v>
      </c>
      <c r="D5" t="e">
        <f>#REF!</f>
        <v>#REF!</v>
      </c>
      <c r="E5" s="10" t="e" cm="1">
        <f t="array" ref="E5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5" s="6">
        <f>FCO_A[[#This Row],[time value]]*FCO_A[[#This Row],[multiplicator]]</f>
        <v>-35</v>
      </c>
      <c r="G5" s="11">
        <v>-1</v>
      </c>
      <c r="H5" s="11">
        <v>35</v>
      </c>
      <c r="I5" s="12" t="s">
        <v>202</v>
      </c>
      <c r="J5" s="2" t="s">
        <v>109</v>
      </c>
      <c r="K5" s="2" t="s">
        <v>11</v>
      </c>
    </row>
    <row r="6" spans="1:11" x14ac:dyDescent="0.3">
      <c r="A6" t="s">
        <v>515</v>
      </c>
      <c r="B6" t="s">
        <v>2</v>
      </c>
      <c r="C6" t="s">
        <v>30</v>
      </c>
      <c r="D6" t="e">
        <f>#REF!</f>
        <v>#REF!</v>
      </c>
      <c r="E6" s="10" t="e" cm="1">
        <f t="array" ref="E6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6" s="6">
        <f>FCO_A[[#This Row],[time value]]*FCO_A[[#This Row],[multiplicator]]</f>
        <v>-30</v>
      </c>
      <c r="G6" s="11">
        <v>-1</v>
      </c>
      <c r="H6" s="11">
        <v>30</v>
      </c>
      <c r="I6" s="12" t="s">
        <v>202</v>
      </c>
      <c r="J6" s="2" t="s">
        <v>110</v>
      </c>
      <c r="K6" s="2" t="s">
        <v>11</v>
      </c>
    </row>
    <row r="7" spans="1:11" x14ac:dyDescent="0.3">
      <c r="A7" t="s">
        <v>515</v>
      </c>
      <c r="B7" t="s">
        <v>2</v>
      </c>
      <c r="C7" t="s">
        <v>30</v>
      </c>
      <c r="D7" t="e">
        <f>#REF!</f>
        <v>#REF!</v>
      </c>
      <c r="E7" s="10" t="e" cm="1">
        <f t="array" ref="E7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7" s="6">
        <f>FCO_A[[#This Row],[time value]]*FCO_A[[#This Row],[multiplicator]]</f>
        <v>-25</v>
      </c>
      <c r="G7" s="11">
        <v>-1</v>
      </c>
      <c r="H7" s="11">
        <v>25</v>
      </c>
      <c r="I7" s="12" t="s">
        <v>202</v>
      </c>
      <c r="J7" s="2" t="s">
        <v>113</v>
      </c>
      <c r="K7" s="2" t="s">
        <v>114</v>
      </c>
    </row>
    <row r="8" spans="1:11" x14ac:dyDescent="0.3">
      <c r="A8" t="s">
        <v>515</v>
      </c>
      <c r="B8" t="s">
        <v>2</v>
      </c>
      <c r="C8" t="s">
        <v>30</v>
      </c>
      <c r="D8" t="e">
        <f>#REF!</f>
        <v>#REF!</v>
      </c>
      <c r="E8" s="10" t="e" cm="1">
        <f t="array" ref="E8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8" s="6">
        <f>FCO_A[[#This Row],[time value]]*FCO_A[[#This Row],[multiplicator]]</f>
        <v>-16</v>
      </c>
      <c r="G8" s="11">
        <v>-1</v>
      </c>
      <c r="H8" s="11">
        <v>16</v>
      </c>
      <c r="I8" s="12" t="s">
        <v>202</v>
      </c>
      <c r="J8" s="2" t="s">
        <v>117</v>
      </c>
      <c r="K8" s="2" t="s">
        <v>114</v>
      </c>
    </row>
    <row r="9" spans="1:11" x14ac:dyDescent="0.3">
      <c r="A9" t="s">
        <v>515</v>
      </c>
      <c r="B9" t="s">
        <v>2</v>
      </c>
      <c r="C9" t="s">
        <v>30</v>
      </c>
      <c r="D9" t="e">
        <f>#REF!</f>
        <v>#REF!</v>
      </c>
      <c r="E9" s="10" t="e" cm="1">
        <f t="array" ref="E9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9" s="6">
        <f>FCO_A[[#This Row],[time value]]*FCO_A[[#This Row],[multiplicator]]</f>
        <v>-15</v>
      </c>
      <c r="G9" s="11">
        <v>-1</v>
      </c>
      <c r="H9" s="11">
        <v>15</v>
      </c>
      <c r="I9" s="12" t="s">
        <v>202</v>
      </c>
      <c r="J9" s="2" t="s">
        <v>118</v>
      </c>
      <c r="K9" s="2" t="s">
        <v>119</v>
      </c>
    </row>
    <row r="10" spans="1:11" x14ac:dyDescent="0.3">
      <c r="A10" t="s">
        <v>515</v>
      </c>
      <c r="B10" t="s">
        <v>2</v>
      </c>
      <c r="C10" t="s">
        <v>30</v>
      </c>
      <c r="D10" t="e">
        <f>#REF!</f>
        <v>#REF!</v>
      </c>
      <c r="E10" s="10" t="e" cm="1">
        <f t="array" ref="E10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0" s="6">
        <f>FCO_A[[#This Row],[time value]]*FCO_A[[#This Row],[multiplicator]]</f>
        <v>-14</v>
      </c>
      <c r="G10" s="11">
        <v>-1</v>
      </c>
      <c r="H10" s="11">
        <v>14</v>
      </c>
      <c r="I10" s="12" t="s">
        <v>202</v>
      </c>
      <c r="J10" s="2" t="s">
        <v>122</v>
      </c>
      <c r="K10" s="2" t="s">
        <v>119</v>
      </c>
    </row>
    <row r="11" spans="1:11" x14ac:dyDescent="0.3">
      <c r="A11" t="s">
        <v>515</v>
      </c>
      <c r="B11" t="s">
        <v>2</v>
      </c>
      <c r="C11" t="s">
        <v>30</v>
      </c>
      <c r="D11" t="e">
        <f>#REF!</f>
        <v>#REF!</v>
      </c>
      <c r="E11" s="10" t="e" cm="1">
        <f t="array" ref="E11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1" s="6">
        <f>FCO_A[[#This Row],[time value]]*FCO_A[[#This Row],[multiplicator]]</f>
        <v>0</v>
      </c>
      <c r="G11" s="11">
        <v>1</v>
      </c>
      <c r="H11" s="11">
        <v>0</v>
      </c>
      <c r="I11" s="12" t="s">
        <v>202</v>
      </c>
      <c r="J11" s="2" t="s">
        <v>125</v>
      </c>
      <c r="K11" s="2"/>
    </row>
    <row r="12" spans="1:11" x14ac:dyDescent="0.3">
      <c r="A12" t="s">
        <v>515</v>
      </c>
      <c r="B12" t="s">
        <v>2</v>
      </c>
      <c r="C12" t="s">
        <v>30</v>
      </c>
      <c r="D12" t="e">
        <f>#REF!</f>
        <v>#REF!</v>
      </c>
      <c r="E12" s="10" t="e" cm="1">
        <f t="array" ref="E12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2" s="6">
        <f>FCO_A[[#This Row],[time value]]*FCO_A[[#This Row],[multiplicator]]</f>
        <v>0</v>
      </c>
      <c r="G12" s="11">
        <v>1</v>
      </c>
      <c r="H12" s="11">
        <v>0</v>
      </c>
      <c r="I12" s="12" t="s">
        <v>202</v>
      </c>
      <c r="J12" s="2" t="s">
        <v>126</v>
      </c>
      <c r="K12" s="2" t="s">
        <v>127</v>
      </c>
    </row>
    <row r="13" spans="1:11" x14ac:dyDescent="0.3">
      <c r="A13" t="s">
        <v>515</v>
      </c>
      <c r="B13" t="s">
        <v>2</v>
      </c>
      <c r="C13" t="s">
        <v>30</v>
      </c>
      <c r="D13" t="e">
        <f>#REF!</f>
        <v>#REF!</v>
      </c>
      <c r="E13" s="10" t="e" cm="1">
        <f t="array" ref="E13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3" s="6">
        <f>FCO_A[[#This Row],[time value]]*FCO_A[[#This Row],[multiplicator]]</f>
        <v>45</v>
      </c>
      <c r="G13" s="11">
        <v>1</v>
      </c>
      <c r="H13" s="11">
        <v>45</v>
      </c>
      <c r="I13" s="12" t="s">
        <v>202</v>
      </c>
      <c r="J13" s="2" t="s">
        <v>139</v>
      </c>
      <c r="K13" s="2"/>
    </row>
    <row r="14" spans="1:11" x14ac:dyDescent="0.3">
      <c r="A14" t="s">
        <v>515</v>
      </c>
      <c r="B14" t="s">
        <v>2</v>
      </c>
      <c r="C14" t="s">
        <v>30</v>
      </c>
      <c r="D14" t="e">
        <f>#REF!</f>
        <v>#REF!</v>
      </c>
      <c r="E14" s="10" t="e" cm="1">
        <f t="array" ref="E14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4" s="6">
        <f>FCO_A[[#This Row],[time value]]*FCO_A[[#This Row],[multiplicator]]</f>
        <v>60</v>
      </c>
      <c r="G14" s="11">
        <v>1</v>
      </c>
      <c r="H14" s="11">
        <v>60</v>
      </c>
      <c r="I14" s="12" t="s">
        <v>202</v>
      </c>
      <c r="J14" s="2" t="s">
        <v>126</v>
      </c>
      <c r="K14" s="2" t="s">
        <v>127</v>
      </c>
    </row>
    <row r="15" spans="1:11" x14ac:dyDescent="0.3">
      <c r="A15" t="s">
        <v>515</v>
      </c>
      <c r="B15" t="s">
        <v>2</v>
      </c>
      <c r="C15" t="s">
        <v>30</v>
      </c>
      <c r="D15" t="e">
        <f>#REF!</f>
        <v>#REF!</v>
      </c>
      <c r="E15" s="10" t="e" cm="1">
        <f t="array" ref="E15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5" s="6">
        <f>FCO_A[[#This Row],[time value]]*FCO_A[[#This Row],[multiplicator]]</f>
        <v>0</v>
      </c>
      <c r="G15" s="11">
        <v>1</v>
      </c>
      <c r="H15" s="11"/>
      <c r="I15" s="13" t="s">
        <v>494</v>
      </c>
      <c r="J15" s="2" t="s">
        <v>143</v>
      </c>
      <c r="K15" s="2"/>
    </row>
    <row r="16" spans="1:11" x14ac:dyDescent="0.3">
      <c r="A16" t="s">
        <v>515</v>
      </c>
      <c r="B16" t="s">
        <v>2</v>
      </c>
      <c r="C16" t="s">
        <v>30</v>
      </c>
      <c r="D16" t="e">
        <f>#REF!</f>
        <v>#REF!</v>
      </c>
      <c r="E16" s="10" t="e" cm="1">
        <f t="array" ref="E16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6" s="6">
        <f>FCO_A[[#This Row],[time value]]*FCO_A[[#This Row],[multiplicator]]</f>
        <v>8</v>
      </c>
      <c r="G16" s="11">
        <v>1</v>
      </c>
      <c r="H16" s="11">
        <v>8</v>
      </c>
      <c r="I16" s="13" t="s">
        <v>494</v>
      </c>
      <c r="J16" s="2" t="s">
        <v>516</v>
      </c>
      <c r="K16" s="2" t="s">
        <v>114</v>
      </c>
    </row>
    <row r="17" spans="1:11" x14ac:dyDescent="0.3">
      <c r="A17" t="s">
        <v>515</v>
      </c>
      <c r="B17" t="s">
        <v>2</v>
      </c>
      <c r="C17" t="s">
        <v>30</v>
      </c>
      <c r="D17" t="e">
        <f>#REF!</f>
        <v>#REF!</v>
      </c>
      <c r="E17" s="10" t="e" cm="1">
        <f t="array" ref="E17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7" s="6">
        <f>FCO_A[[#This Row],[time value]]*FCO_A[[#This Row],[multiplicator]]</f>
        <v>30</v>
      </c>
      <c r="G17" s="11">
        <v>1</v>
      </c>
      <c r="H17" s="11">
        <v>30</v>
      </c>
      <c r="I17" s="13" t="s">
        <v>494</v>
      </c>
      <c r="J17" s="2" t="s">
        <v>157</v>
      </c>
      <c r="K17" s="2" t="s">
        <v>100</v>
      </c>
    </row>
    <row r="18" spans="1:11" x14ac:dyDescent="0.3">
      <c r="A18" t="s">
        <v>515</v>
      </c>
      <c r="B18" t="s">
        <v>2</v>
      </c>
      <c r="C18" t="s">
        <v>30</v>
      </c>
      <c r="D18" t="e">
        <f>#REF!</f>
        <v>#REF!</v>
      </c>
      <c r="E18" s="10" t="e" cm="1">
        <f t="array" ref="E18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8" s="6">
        <f>FCO_A[[#This Row],[time value]]*FCO_A[[#This Row],[multiplicator]]</f>
        <v>35</v>
      </c>
      <c r="G18" s="11">
        <v>1</v>
      </c>
      <c r="H18" s="11">
        <v>35</v>
      </c>
      <c r="I18" s="13" t="s">
        <v>494</v>
      </c>
      <c r="J18" s="2" t="s">
        <v>160</v>
      </c>
      <c r="K18" s="2" t="s">
        <v>114</v>
      </c>
    </row>
    <row r="19" spans="1:11" x14ac:dyDescent="0.3">
      <c r="A19" t="s">
        <v>515</v>
      </c>
      <c r="B19" t="s">
        <v>2</v>
      </c>
      <c r="C19" t="s">
        <v>30</v>
      </c>
      <c r="D19" t="e">
        <f>#REF!</f>
        <v>#REF!</v>
      </c>
      <c r="E19" s="10" t="e" cm="1">
        <f t="array" ref="E19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19" s="6">
        <f>FCO_A[[#This Row],[time value]]*FCO_A[[#This Row],[multiplicator]]</f>
        <v>40</v>
      </c>
      <c r="G19" s="11">
        <v>1</v>
      </c>
      <c r="H19" s="11">
        <v>40</v>
      </c>
      <c r="I19" s="13" t="s">
        <v>494</v>
      </c>
      <c r="J19" s="2" t="s">
        <v>163</v>
      </c>
      <c r="K19" s="2" t="s">
        <v>164</v>
      </c>
    </row>
    <row r="20" spans="1:11" x14ac:dyDescent="0.3">
      <c r="A20" t="s">
        <v>515</v>
      </c>
      <c r="B20" t="s">
        <v>2</v>
      </c>
      <c r="C20" t="s">
        <v>30</v>
      </c>
      <c r="D20" t="e">
        <f>#REF!</f>
        <v>#REF!</v>
      </c>
      <c r="E20" s="10" t="e" cm="1">
        <f t="array" ref="E20">_xlfn.IFS(FCO_A[[#This Row],[reference wisle]]="KO",#REF!+(FCO_A[[#This Row],[Time to KO]]/1440),FCO_A[[#This Row],[reference wisle]]="FW",#REF!+(FCO_A[[#This Row],[Time to KO]]/1440),FCO_A[[#This Row],[reference wisle]]="EOD","End of Day")</f>
        <v>#REF!</v>
      </c>
      <c r="F20" s="6">
        <f>FCO_A[[#This Row],[time value]]*FCO_A[[#This Row],[multiplicator]]</f>
        <v>45</v>
      </c>
      <c r="G20" s="11">
        <v>1</v>
      </c>
      <c r="H20" s="11">
        <v>45</v>
      </c>
      <c r="I20" s="13" t="s">
        <v>494</v>
      </c>
      <c r="J20" s="2" t="s">
        <v>166</v>
      </c>
      <c r="K20" s="2" t="s">
        <v>11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4CA2-6ACA-4F47-9CEB-84E7F5EC3B38}">
  <sheetPr>
    <tabColor theme="8" tint="0.79998168889431442"/>
  </sheetPr>
  <dimension ref="A1:K20"/>
  <sheetViews>
    <sheetView workbookViewId="0">
      <selection activeCell="L1" sqref="L1"/>
    </sheetView>
  </sheetViews>
  <sheetFormatPr defaultColWidth="11" defaultRowHeight="15.6" x14ac:dyDescent="0.3"/>
  <cols>
    <col min="1" max="1" width="17.09765625" bestFit="1" customWidth="1"/>
    <col min="2" max="5" width="17.0976562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515</v>
      </c>
      <c r="B2" t="s">
        <v>2</v>
      </c>
      <c r="C2" t="s">
        <v>91</v>
      </c>
      <c r="D2" t="e">
        <f>#REF!</f>
        <v>#REF!</v>
      </c>
      <c r="E2" s="10" t="e" cm="1">
        <f t="array" ref="E2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2" s="6">
        <f>FCO_B[[#This Row],[time value]]*FCO_B[[#This Row],[multiplicator]]</f>
        <v>-50</v>
      </c>
      <c r="G2" s="11">
        <v>-1</v>
      </c>
      <c r="H2" s="11">
        <v>50</v>
      </c>
      <c r="I2" s="12" t="s">
        <v>202</v>
      </c>
      <c r="J2" s="2" t="s">
        <v>99</v>
      </c>
      <c r="K2" s="2" t="s">
        <v>100</v>
      </c>
    </row>
    <row r="3" spans="1:11" x14ac:dyDescent="0.3">
      <c r="A3" t="s">
        <v>515</v>
      </c>
      <c r="B3" t="s">
        <v>2</v>
      </c>
      <c r="C3" t="s">
        <v>91</v>
      </c>
      <c r="D3" t="e">
        <f>#REF!</f>
        <v>#REF!</v>
      </c>
      <c r="E3" s="10" t="e" cm="1">
        <f t="array" ref="E3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3" s="6">
        <f>FCO_B[[#This Row],[time value]]*FCO_B[[#This Row],[multiplicator]]</f>
        <v>-45</v>
      </c>
      <c r="G3" s="11">
        <v>-1</v>
      </c>
      <c r="H3" s="11">
        <v>45</v>
      </c>
      <c r="I3" s="12" t="s">
        <v>202</v>
      </c>
      <c r="J3" s="2" t="s">
        <v>103</v>
      </c>
      <c r="K3" s="2" t="s">
        <v>11</v>
      </c>
    </row>
    <row r="4" spans="1:11" x14ac:dyDescent="0.3">
      <c r="A4" t="s">
        <v>515</v>
      </c>
      <c r="B4" t="s">
        <v>2</v>
      </c>
      <c r="C4" t="s">
        <v>91</v>
      </c>
      <c r="D4" t="e">
        <f>#REF!</f>
        <v>#REF!</v>
      </c>
      <c r="E4" s="10" t="e" cm="1">
        <f t="array" ref="E4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4" s="6">
        <f>FCO_B[[#This Row],[time value]]*FCO_B[[#This Row],[multiplicator]]</f>
        <v>-40</v>
      </c>
      <c r="G4" s="11">
        <v>-1</v>
      </c>
      <c r="H4" s="11">
        <v>40</v>
      </c>
      <c r="I4" s="12" t="s">
        <v>202</v>
      </c>
      <c r="J4" s="2" t="s">
        <v>108</v>
      </c>
      <c r="K4" s="2" t="s">
        <v>11</v>
      </c>
    </row>
    <row r="5" spans="1:11" x14ac:dyDescent="0.3">
      <c r="A5" t="s">
        <v>515</v>
      </c>
      <c r="B5" t="s">
        <v>2</v>
      </c>
      <c r="C5" t="s">
        <v>91</v>
      </c>
      <c r="D5" t="e">
        <f>#REF!</f>
        <v>#REF!</v>
      </c>
      <c r="E5" s="10" t="e" cm="1">
        <f t="array" ref="E5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5" s="6">
        <f>FCO_B[[#This Row],[time value]]*FCO_B[[#This Row],[multiplicator]]</f>
        <v>-35</v>
      </c>
      <c r="G5" s="11">
        <v>-1</v>
      </c>
      <c r="H5" s="11">
        <v>35</v>
      </c>
      <c r="I5" s="12" t="s">
        <v>202</v>
      </c>
      <c r="J5" s="2" t="s">
        <v>109</v>
      </c>
      <c r="K5" s="2" t="s">
        <v>11</v>
      </c>
    </row>
    <row r="6" spans="1:11" x14ac:dyDescent="0.3">
      <c r="A6" t="s">
        <v>515</v>
      </c>
      <c r="B6" t="s">
        <v>2</v>
      </c>
      <c r="C6" t="s">
        <v>91</v>
      </c>
      <c r="D6" t="e">
        <f>#REF!</f>
        <v>#REF!</v>
      </c>
      <c r="E6" s="10" t="e" cm="1">
        <f t="array" ref="E6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6" s="6">
        <f>FCO_B[[#This Row],[time value]]*FCO_B[[#This Row],[multiplicator]]</f>
        <v>-30</v>
      </c>
      <c r="G6" s="11">
        <v>-1</v>
      </c>
      <c r="H6" s="11">
        <v>30</v>
      </c>
      <c r="I6" s="12" t="s">
        <v>202</v>
      </c>
      <c r="J6" s="2" t="s">
        <v>110</v>
      </c>
      <c r="K6" s="2" t="s">
        <v>11</v>
      </c>
    </row>
    <row r="7" spans="1:11" x14ac:dyDescent="0.3">
      <c r="A7" t="s">
        <v>515</v>
      </c>
      <c r="B7" t="s">
        <v>2</v>
      </c>
      <c r="C7" t="s">
        <v>91</v>
      </c>
      <c r="D7" t="e">
        <f>#REF!</f>
        <v>#REF!</v>
      </c>
      <c r="E7" s="10" t="e" cm="1">
        <f t="array" ref="E7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7" s="6">
        <f>FCO_B[[#This Row],[time value]]*FCO_B[[#This Row],[multiplicator]]</f>
        <v>-25</v>
      </c>
      <c r="G7" s="11">
        <v>-1</v>
      </c>
      <c r="H7" s="11">
        <v>25</v>
      </c>
      <c r="I7" s="12" t="s">
        <v>202</v>
      </c>
      <c r="J7" s="2" t="s">
        <v>113</v>
      </c>
      <c r="K7" s="2" t="s">
        <v>114</v>
      </c>
    </row>
    <row r="8" spans="1:11" x14ac:dyDescent="0.3">
      <c r="A8" t="s">
        <v>515</v>
      </c>
      <c r="B8" t="s">
        <v>2</v>
      </c>
      <c r="C8" t="s">
        <v>91</v>
      </c>
      <c r="D8" t="e">
        <f>#REF!</f>
        <v>#REF!</v>
      </c>
      <c r="E8" s="10" t="e" cm="1">
        <f t="array" ref="E8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8" s="6">
        <f>FCO_B[[#This Row],[time value]]*FCO_B[[#This Row],[multiplicator]]</f>
        <v>-16</v>
      </c>
      <c r="G8" s="11">
        <v>-1</v>
      </c>
      <c r="H8" s="11">
        <v>16</v>
      </c>
      <c r="I8" s="12" t="s">
        <v>202</v>
      </c>
      <c r="J8" s="2" t="s">
        <v>117</v>
      </c>
      <c r="K8" s="2" t="s">
        <v>114</v>
      </c>
    </row>
    <row r="9" spans="1:11" x14ac:dyDescent="0.3">
      <c r="A9" t="s">
        <v>515</v>
      </c>
      <c r="B9" t="s">
        <v>2</v>
      </c>
      <c r="C9" t="s">
        <v>91</v>
      </c>
      <c r="D9" t="e">
        <f>#REF!</f>
        <v>#REF!</v>
      </c>
      <c r="E9" s="10" t="e" cm="1">
        <f t="array" ref="E9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9" s="6">
        <f>FCO_B[[#This Row],[time value]]*FCO_B[[#This Row],[multiplicator]]</f>
        <v>-15</v>
      </c>
      <c r="G9" s="11">
        <v>-1</v>
      </c>
      <c r="H9" s="11">
        <v>15</v>
      </c>
      <c r="I9" s="12" t="s">
        <v>202</v>
      </c>
      <c r="J9" s="2" t="s">
        <v>118</v>
      </c>
      <c r="K9" s="2" t="s">
        <v>119</v>
      </c>
    </row>
    <row r="10" spans="1:11" x14ac:dyDescent="0.3">
      <c r="A10" t="s">
        <v>515</v>
      </c>
      <c r="B10" t="s">
        <v>2</v>
      </c>
      <c r="C10" t="s">
        <v>91</v>
      </c>
      <c r="D10" t="e">
        <f>#REF!</f>
        <v>#REF!</v>
      </c>
      <c r="E10" s="10" t="e" cm="1">
        <f t="array" ref="E10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0" s="6">
        <f>FCO_B[[#This Row],[time value]]*FCO_B[[#This Row],[multiplicator]]</f>
        <v>-14</v>
      </c>
      <c r="G10" s="11">
        <v>-1</v>
      </c>
      <c r="H10" s="11">
        <v>14</v>
      </c>
      <c r="I10" s="12" t="s">
        <v>202</v>
      </c>
      <c r="J10" s="2" t="s">
        <v>122</v>
      </c>
      <c r="K10" s="2" t="s">
        <v>119</v>
      </c>
    </row>
    <row r="11" spans="1:11" x14ac:dyDescent="0.3">
      <c r="A11" t="s">
        <v>515</v>
      </c>
      <c r="B11" t="s">
        <v>2</v>
      </c>
      <c r="C11" t="s">
        <v>91</v>
      </c>
      <c r="D11" t="e">
        <f>#REF!</f>
        <v>#REF!</v>
      </c>
      <c r="E11" s="10" t="e" cm="1">
        <f t="array" ref="E11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1" s="6">
        <f>FCO_B[[#This Row],[time value]]*FCO_B[[#This Row],[multiplicator]]</f>
        <v>0</v>
      </c>
      <c r="G11" s="11">
        <v>1</v>
      </c>
      <c r="H11" s="11">
        <v>0</v>
      </c>
      <c r="I11" s="12" t="s">
        <v>202</v>
      </c>
      <c r="J11" s="2" t="s">
        <v>125</v>
      </c>
      <c r="K11" s="2"/>
    </row>
    <row r="12" spans="1:11" x14ac:dyDescent="0.3">
      <c r="A12" t="s">
        <v>515</v>
      </c>
      <c r="B12" t="s">
        <v>2</v>
      </c>
      <c r="C12" t="s">
        <v>91</v>
      </c>
      <c r="D12" t="e">
        <f>#REF!</f>
        <v>#REF!</v>
      </c>
      <c r="E12" s="10" t="e" cm="1">
        <f t="array" ref="E12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2" s="6">
        <f>FCO_B[[#This Row],[time value]]*FCO_B[[#This Row],[multiplicator]]</f>
        <v>0</v>
      </c>
      <c r="G12" s="11">
        <v>1</v>
      </c>
      <c r="H12" s="11">
        <v>0</v>
      </c>
      <c r="I12" s="12" t="s">
        <v>202</v>
      </c>
      <c r="J12" s="2" t="s">
        <v>126</v>
      </c>
      <c r="K12" s="2" t="s">
        <v>127</v>
      </c>
    </row>
    <row r="13" spans="1:11" x14ac:dyDescent="0.3">
      <c r="A13" t="s">
        <v>515</v>
      </c>
      <c r="B13" t="s">
        <v>2</v>
      </c>
      <c r="C13" t="s">
        <v>91</v>
      </c>
      <c r="D13" t="e">
        <f>#REF!</f>
        <v>#REF!</v>
      </c>
      <c r="E13" s="10" t="e" cm="1">
        <f t="array" ref="E13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3" s="6">
        <f>FCO_B[[#This Row],[time value]]*FCO_B[[#This Row],[multiplicator]]</f>
        <v>45</v>
      </c>
      <c r="G13" s="11">
        <v>1</v>
      </c>
      <c r="H13" s="11">
        <v>45</v>
      </c>
      <c r="I13" s="12" t="s">
        <v>202</v>
      </c>
      <c r="J13" s="2" t="s">
        <v>139</v>
      </c>
      <c r="K13" s="2"/>
    </row>
    <row r="14" spans="1:11" x14ac:dyDescent="0.3">
      <c r="A14" t="s">
        <v>515</v>
      </c>
      <c r="B14" t="s">
        <v>2</v>
      </c>
      <c r="C14" t="s">
        <v>91</v>
      </c>
      <c r="D14" t="e">
        <f>#REF!</f>
        <v>#REF!</v>
      </c>
      <c r="E14" s="10" t="e" cm="1">
        <f t="array" ref="E14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4" s="6">
        <f>FCO_B[[#This Row],[time value]]*FCO_B[[#This Row],[multiplicator]]</f>
        <v>60</v>
      </c>
      <c r="G14" s="11">
        <v>1</v>
      </c>
      <c r="H14" s="11">
        <v>60</v>
      </c>
      <c r="I14" s="12" t="s">
        <v>202</v>
      </c>
      <c r="J14" s="2" t="s">
        <v>126</v>
      </c>
      <c r="K14" s="2" t="s">
        <v>127</v>
      </c>
    </row>
    <row r="15" spans="1:11" x14ac:dyDescent="0.3">
      <c r="A15" t="s">
        <v>515</v>
      </c>
      <c r="B15" t="s">
        <v>2</v>
      </c>
      <c r="C15" t="s">
        <v>91</v>
      </c>
      <c r="D15" t="e">
        <f>#REF!</f>
        <v>#REF!</v>
      </c>
      <c r="E15" s="10" t="e" cm="1">
        <f t="array" ref="E15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5" s="6">
        <f>FCO_B[[#This Row],[time value]]*FCO_B[[#This Row],[multiplicator]]</f>
        <v>0</v>
      </c>
      <c r="G15" s="11">
        <v>1</v>
      </c>
      <c r="H15" s="11"/>
      <c r="I15" s="13" t="s">
        <v>494</v>
      </c>
      <c r="J15" s="2" t="s">
        <v>143</v>
      </c>
      <c r="K15" s="2"/>
    </row>
    <row r="16" spans="1:11" x14ac:dyDescent="0.3">
      <c r="A16" t="s">
        <v>515</v>
      </c>
      <c r="B16" t="s">
        <v>2</v>
      </c>
      <c r="C16" t="s">
        <v>91</v>
      </c>
      <c r="D16" t="e">
        <f>#REF!</f>
        <v>#REF!</v>
      </c>
      <c r="E16" s="10" t="e" cm="1">
        <f t="array" ref="E16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6" s="6">
        <f>FCO_B[[#This Row],[time value]]*FCO_B[[#This Row],[multiplicator]]</f>
        <v>8</v>
      </c>
      <c r="G16" s="11">
        <v>1</v>
      </c>
      <c r="H16" s="11">
        <v>8</v>
      </c>
      <c r="I16" s="13" t="s">
        <v>494</v>
      </c>
      <c r="J16" s="2" t="s">
        <v>516</v>
      </c>
      <c r="K16" s="2" t="s">
        <v>114</v>
      </c>
    </row>
    <row r="17" spans="1:11" x14ac:dyDescent="0.3">
      <c r="A17" t="s">
        <v>515</v>
      </c>
      <c r="B17" t="s">
        <v>2</v>
      </c>
      <c r="C17" t="s">
        <v>91</v>
      </c>
      <c r="D17" t="e">
        <f>#REF!</f>
        <v>#REF!</v>
      </c>
      <c r="E17" s="10" t="e" cm="1">
        <f t="array" ref="E17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7" s="6">
        <f>FCO_B[[#This Row],[time value]]*FCO_B[[#This Row],[multiplicator]]</f>
        <v>30</v>
      </c>
      <c r="G17" s="11">
        <v>1</v>
      </c>
      <c r="H17" s="11">
        <v>30</v>
      </c>
      <c r="I17" s="13" t="s">
        <v>494</v>
      </c>
      <c r="J17" s="2" t="s">
        <v>157</v>
      </c>
      <c r="K17" s="2" t="s">
        <v>100</v>
      </c>
    </row>
    <row r="18" spans="1:11" x14ac:dyDescent="0.3">
      <c r="A18" t="s">
        <v>515</v>
      </c>
      <c r="B18" t="s">
        <v>2</v>
      </c>
      <c r="C18" t="s">
        <v>91</v>
      </c>
      <c r="D18" t="e">
        <f>#REF!</f>
        <v>#REF!</v>
      </c>
      <c r="E18" s="10" t="e" cm="1">
        <f t="array" ref="E18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8" s="6">
        <f>FCO_B[[#This Row],[time value]]*FCO_B[[#This Row],[multiplicator]]</f>
        <v>35</v>
      </c>
      <c r="G18" s="11">
        <v>1</v>
      </c>
      <c r="H18" s="11">
        <v>35</v>
      </c>
      <c r="I18" s="13" t="s">
        <v>494</v>
      </c>
      <c r="J18" s="2" t="s">
        <v>160</v>
      </c>
      <c r="K18" s="2" t="s">
        <v>114</v>
      </c>
    </row>
    <row r="19" spans="1:11" x14ac:dyDescent="0.3">
      <c r="A19" t="s">
        <v>515</v>
      </c>
      <c r="B19" t="s">
        <v>2</v>
      </c>
      <c r="C19" t="s">
        <v>91</v>
      </c>
      <c r="D19" t="e">
        <f>#REF!</f>
        <v>#REF!</v>
      </c>
      <c r="E19" s="10" t="e" cm="1">
        <f t="array" ref="E19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19" s="6">
        <f>FCO_B[[#This Row],[time value]]*FCO_B[[#This Row],[multiplicator]]</f>
        <v>40</v>
      </c>
      <c r="G19" s="11">
        <v>1</v>
      </c>
      <c r="H19" s="11">
        <v>40</v>
      </c>
      <c r="I19" s="13" t="s">
        <v>494</v>
      </c>
      <c r="J19" s="2" t="s">
        <v>163</v>
      </c>
      <c r="K19" s="2" t="s">
        <v>164</v>
      </c>
    </row>
    <row r="20" spans="1:11" x14ac:dyDescent="0.3">
      <c r="A20" t="s">
        <v>515</v>
      </c>
      <c r="B20" t="s">
        <v>2</v>
      </c>
      <c r="C20" t="s">
        <v>91</v>
      </c>
      <c r="D20" t="e">
        <f>#REF!</f>
        <v>#REF!</v>
      </c>
      <c r="E20" s="10" t="e" cm="1">
        <f t="array" ref="E20">_xlfn.IFS(FCO_B[[#This Row],[reference wisle]]="KO",#REF!+(FCO_B[[#This Row],[Time to KO]]/1440),FCO_B[[#This Row],[reference wisle]]="FW",#REF!+(FCO_B[[#This Row],[Time to KO]]/1440),FCO_B[[#This Row],[reference wisle]]="EOD","End of Day")</f>
        <v>#REF!</v>
      </c>
      <c r="F20" s="6">
        <f>FCO_B[[#This Row],[time value]]*FCO_B[[#This Row],[multiplicator]]</f>
        <v>45</v>
      </c>
      <c r="G20" s="11">
        <v>1</v>
      </c>
      <c r="H20" s="11">
        <v>45</v>
      </c>
      <c r="I20" s="13" t="s">
        <v>494</v>
      </c>
      <c r="J20" s="2" t="s">
        <v>166</v>
      </c>
      <c r="K20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F459-EDC1-9344-B4A8-256EE81B0F42}">
  <sheetPr>
    <tabColor theme="8" tint="0.79998168889431442"/>
  </sheetPr>
  <dimension ref="A1:K20"/>
  <sheetViews>
    <sheetView workbookViewId="0">
      <selection activeCell="L1" sqref="L1"/>
    </sheetView>
  </sheetViews>
  <sheetFormatPr defaultColWidth="11" defaultRowHeight="15.6" x14ac:dyDescent="0.3"/>
  <cols>
    <col min="1" max="1" width="17.09765625" bestFit="1" customWidth="1"/>
    <col min="2" max="5" width="17.0976562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515</v>
      </c>
      <c r="B2" t="s">
        <v>2</v>
      </c>
      <c r="C2" t="s">
        <v>144</v>
      </c>
      <c r="D2" t="e">
        <f>#REF!</f>
        <v>#REF!</v>
      </c>
      <c r="E2" s="10" t="e" cm="1">
        <f t="array" ref="E2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2" s="6">
        <f>FCO_C[[#This Row],[time value]]*FCO_C[[#This Row],[multiplicator]]</f>
        <v>-50</v>
      </c>
      <c r="G2" s="11">
        <v>-1</v>
      </c>
      <c r="H2" s="11">
        <v>50</v>
      </c>
      <c r="I2" s="12" t="s">
        <v>202</v>
      </c>
      <c r="J2" s="2" t="s">
        <v>99</v>
      </c>
      <c r="K2" s="2" t="s">
        <v>100</v>
      </c>
    </row>
    <row r="3" spans="1:11" x14ac:dyDescent="0.3">
      <c r="A3" t="s">
        <v>515</v>
      </c>
      <c r="B3" t="s">
        <v>2</v>
      </c>
      <c r="C3" t="s">
        <v>144</v>
      </c>
      <c r="D3" t="e">
        <f>#REF!</f>
        <v>#REF!</v>
      </c>
      <c r="E3" s="10" t="e" cm="1">
        <f t="array" ref="E3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3" s="6">
        <f>FCO_C[[#This Row],[time value]]*FCO_C[[#This Row],[multiplicator]]</f>
        <v>-45</v>
      </c>
      <c r="G3" s="11">
        <v>-1</v>
      </c>
      <c r="H3" s="11">
        <v>45</v>
      </c>
      <c r="I3" s="12" t="s">
        <v>202</v>
      </c>
      <c r="J3" s="2" t="s">
        <v>103</v>
      </c>
      <c r="K3" s="2" t="s">
        <v>11</v>
      </c>
    </row>
    <row r="4" spans="1:11" x14ac:dyDescent="0.3">
      <c r="A4" t="s">
        <v>515</v>
      </c>
      <c r="B4" t="s">
        <v>2</v>
      </c>
      <c r="C4" t="s">
        <v>144</v>
      </c>
      <c r="D4" t="e">
        <f>#REF!</f>
        <v>#REF!</v>
      </c>
      <c r="E4" s="10" t="e" cm="1">
        <f t="array" ref="E4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4" s="6">
        <f>FCO_C[[#This Row],[time value]]*FCO_C[[#This Row],[multiplicator]]</f>
        <v>-40</v>
      </c>
      <c r="G4" s="11">
        <v>-1</v>
      </c>
      <c r="H4" s="11">
        <v>40</v>
      </c>
      <c r="I4" s="12" t="s">
        <v>202</v>
      </c>
      <c r="J4" s="2" t="s">
        <v>108</v>
      </c>
      <c r="K4" s="2" t="s">
        <v>11</v>
      </c>
    </row>
    <row r="5" spans="1:11" x14ac:dyDescent="0.3">
      <c r="A5" t="s">
        <v>515</v>
      </c>
      <c r="B5" t="s">
        <v>2</v>
      </c>
      <c r="C5" t="s">
        <v>144</v>
      </c>
      <c r="D5" t="e">
        <f>#REF!</f>
        <v>#REF!</v>
      </c>
      <c r="E5" s="10" t="e" cm="1">
        <f t="array" ref="E5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5" s="6">
        <f>FCO_C[[#This Row],[time value]]*FCO_C[[#This Row],[multiplicator]]</f>
        <v>-35</v>
      </c>
      <c r="G5" s="11">
        <v>-1</v>
      </c>
      <c r="H5" s="11">
        <v>35</v>
      </c>
      <c r="I5" s="12" t="s">
        <v>202</v>
      </c>
      <c r="J5" s="2" t="s">
        <v>109</v>
      </c>
      <c r="K5" s="2" t="s">
        <v>11</v>
      </c>
    </row>
    <row r="6" spans="1:11" x14ac:dyDescent="0.3">
      <c r="A6" t="s">
        <v>515</v>
      </c>
      <c r="B6" t="s">
        <v>2</v>
      </c>
      <c r="C6" t="s">
        <v>144</v>
      </c>
      <c r="D6" t="e">
        <f>#REF!</f>
        <v>#REF!</v>
      </c>
      <c r="E6" s="10" t="e" cm="1">
        <f t="array" ref="E6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6" s="6">
        <f>FCO_C[[#This Row],[time value]]*FCO_C[[#This Row],[multiplicator]]</f>
        <v>-30</v>
      </c>
      <c r="G6" s="11">
        <v>-1</v>
      </c>
      <c r="H6" s="11">
        <v>30</v>
      </c>
      <c r="I6" s="12" t="s">
        <v>202</v>
      </c>
      <c r="J6" s="2" t="s">
        <v>110</v>
      </c>
      <c r="K6" s="2" t="s">
        <v>11</v>
      </c>
    </row>
    <row r="7" spans="1:11" x14ac:dyDescent="0.3">
      <c r="A7" t="s">
        <v>515</v>
      </c>
      <c r="B7" t="s">
        <v>2</v>
      </c>
      <c r="C7" t="s">
        <v>144</v>
      </c>
      <c r="D7" t="e">
        <f>#REF!</f>
        <v>#REF!</v>
      </c>
      <c r="E7" s="10" t="e" cm="1">
        <f t="array" ref="E7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7" s="6">
        <f>FCO_C[[#This Row],[time value]]*FCO_C[[#This Row],[multiplicator]]</f>
        <v>-25</v>
      </c>
      <c r="G7" s="11">
        <v>-1</v>
      </c>
      <c r="H7" s="11">
        <v>25</v>
      </c>
      <c r="I7" s="12" t="s">
        <v>202</v>
      </c>
      <c r="J7" s="2" t="s">
        <v>113</v>
      </c>
      <c r="K7" s="2" t="s">
        <v>114</v>
      </c>
    </row>
    <row r="8" spans="1:11" x14ac:dyDescent="0.3">
      <c r="A8" t="s">
        <v>515</v>
      </c>
      <c r="B8" t="s">
        <v>2</v>
      </c>
      <c r="C8" t="s">
        <v>144</v>
      </c>
      <c r="D8" t="e">
        <f>#REF!</f>
        <v>#REF!</v>
      </c>
      <c r="E8" s="10" t="e" cm="1">
        <f t="array" ref="E8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8" s="6">
        <f>FCO_C[[#This Row],[time value]]*FCO_C[[#This Row],[multiplicator]]</f>
        <v>-16</v>
      </c>
      <c r="G8" s="11">
        <v>-1</v>
      </c>
      <c r="H8" s="11">
        <v>16</v>
      </c>
      <c r="I8" s="12" t="s">
        <v>202</v>
      </c>
      <c r="J8" s="2" t="s">
        <v>117</v>
      </c>
      <c r="K8" s="2" t="s">
        <v>114</v>
      </c>
    </row>
    <row r="9" spans="1:11" x14ac:dyDescent="0.3">
      <c r="A9" t="s">
        <v>515</v>
      </c>
      <c r="B9" t="s">
        <v>2</v>
      </c>
      <c r="C9" t="s">
        <v>144</v>
      </c>
      <c r="D9" t="e">
        <f>#REF!</f>
        <v>#REF!</v>
      </c>
      <c r="E9" s="10" t="e" cm="1">
        <f t="array" ref="E9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9" s="6">
        <f>FCO_C[[#This Row],[time value]]*FCO_C[[#This Row],[multiplicator]]</f>
        <v>-15</v>
      </c>
      <c r="G9" s="11">
        <v>-1</v>
      </c>
      <c r="H9" s="11">
        <v>15</v>
      </c>
      <c r="I9" s="12" t="s">
        <v>202</v>
      </c>
      <c r="J9" s="2" t="s">
        <v>118</v>
      </c>
      <c r="K9" s="2" t="s">
        <v>119</v>
      </c>
    </row>
    <row r="10" spans="1:11" x14ac:dyDescent="0.3">
      <c r="A10" t="s">
        <v>515</v>
      </c>
      <c r="B10" t="s">
        <v>2</v>
      </c>
      <c r="C10" t="s">
        <v>144</v>
      </c>
      <c r="D10" t="e">
        <f>#REF!</f>
        <v>#REF!</v>
      </c>
      <c r="E10" s="10" t="e" cm="1">
        <f t="array" ref="E10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0" s="6">
        <f>FCO_C[[#This Row],[time value]]*FCO_C[[#This Row],[multiplicator]]</f>
        <v>-14</v>
      </c>
      <c r="G10" s="11">
        <v>-1</v>
      </c>
      <c r="H10" s="11">
        <v>14</v>
      </c>
      <c r="I10" s="12" t="s">
        <v>202</v>
      </c>
      <c r="J10" s="2" t="s">
        <v>122</v>
      </c>
      <c r="K10" s="2" t="s">
        <v>119</v>
      </c>
    </row>
    <row r="11" spans="1:11" x14ac:dyDescent="0.3">
      <c r="A11" t="s">
        <v>515</v>
      </c>
      <c r="B11" t="s">
        <v>2</v>
      </c>
      <c r="C11" t="s">
        <v>144</v>
      </c>
      <c r="D11" t="e">
        <f>#REF!</f>
        <v>#REF!</v>
      </c>
      <c r="E11" s="10" t="e" cm="1">
        <f t="array" ref="E11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1" s="6">
        <f>FCO_C[[#This Row],[time value]]*FCO_C[[#This Row],[multiplicator]]</f>
        <v>0</v>
      </c>
      <c r="G11" s="11">
        <v>1</v>
      </c>
      <c r="H11" s="11">
        <v>0</v>
      </c>
      <c r="I11" s="12" t="s">
        <v>202</v>
      </c>
      <c r="J11" s="2" t="s">
        <v>125</v>
      </c>
      <c r="K11" s="2"/>
    </row>
    <row r="12" spans="1:11" x14ac:dyDescent="0.3">
      <c r="A12" t="s">
        <v>515</v>
      </c>
      <c r="B12" t="s">
        <v>2</v>
      </c>
      <c r="C12" t="s">
        <v>144</v>
      </c>
      <c r="D12" t="e">
        <f>#REF!</f>
        <v>#REF!</v>
      </c>
      <c r="E12" s="10" t="e" cm="1">
        <f t="array" ref="E12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2" s="6">
        <f>FCO_C[[#This Row],[time value]]*FCO_C[[#This Row],[multiplicator]]</f>
        <v>0</v>
      </c>
      <c r="G12" s="11">
        <v>1</v>
      </c>
      <c r="H12" s="11">
        <v>0</v>
      </c>
      <c r="I12" s="12" t="s">
        <v>202</v>
      </c>
      <c r="J12" s="2" t="s">
        <v>126</v>
      </c>
      <c r="K12" s="2" t="s">
        <v>127</v>
      </c>
    </row>
    <row r="13" spans="1:11" x14ac:dyDescent="0.3">
      <c r="A13" t="s">
        <v>515</v>
      </c>
      <c r="B13" t="s">
        <v>2</v>
      </c>
      <c r="C13" t="s">
        <v>144</v>
      </c>
      <c r="D13" t="e">
        <f>#REF!</f>
        <v>#REF!</v>
      </c>
      <c r="E13" s="10" t="e" cm="1">
        <f t="array" ref="E13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3" s="6">
        <f>FCO_C[[#This Row],[time value]]*FCO_C[[#This Row],[multiplicator]]</f>
        <v>45</v>
      </c>
      <c r="G13" s="11">
        <v>1</v>
      </c>
      <c r="H13" s="11">
        <v>45</v>
      </c>
      <c r="I13" s="12" t="s">
        <v>202</v>
      </c>
      <c r="J13" s="2" t="s">
        <v>139</v>
      </c>
      <c r="K13" s="2"/>
    </row>
    <row r="14" spans="1:11" x14ac:dyDescent="0.3">
      <c r="A14" t="s">
        <v>515</v>
      </c>
      <c r="B14" t="s">
        <v>2</v>
      </c>
      <c r="C14" t="s">
        <v>144</v>
      </c>
      <c r="D14" t="e">
        <f>#REF!</f>
        <v>#REF!</v>
      </c>
      <c r="E14" s="10" t="e" cm="1">
        <f t="array" ref="E14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4" s="6">
        <f>FCO_C[[#This Row],[time value]]*FCO_C[[#This Row],[multiplicator]]</f>
        <v>60</v>
      </c>
      <c r="G14" s="11">
        <v>1</v>
      </c>
      <c r="H14" s="11">
        <v>60</v>
      </c>
      <c r="I14" s="12" t="s">
        <v>202</v>
      </c>
      <c r="J14" s="2" t="s">
        <v>126</v>
      </c>
      <c r="K14" s="2" t="s">
        <v>127</v>
      </c>
    </row>
    <row r="15" spans="1:11" x14ac:dyDescent="0.3">
      <c r="A15" t="s">
        <v>515</v>
      </c>
      <c r="B15" t="s">
        <v>2</v>
      </c>
      <c r="C15" t="s">
        <v>144</v>
      </c>
      <c r="D15" t="e">
        <f>#REF!</f>
        <v>#REF!</v>
      </c>
      <c r="E15" s="10" t="e" cm="1">
        <f t="array" ref="E15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5" s="6">
        <f>FCO_C[[#This Row],[time value]]*FCO_C[[#This Row],[multiplicator]]</f>
        <v>0</v>
      </c>
      <c r="G15" s="11">
        <v>1</v>
      </c>
      <c r="H15" s="11"/>
      <c r="I15" s="13" t="s">
        <v>494</v>
      </c>
      <c r="J15" s="2" t="s">
        <v>143</v>
      </c>
      <c r="K15" s="2"/>
    </row>
    <row r="16" spans="1:11" x14ac:dyDescent="0.3">
      <c r="A16" t="s">
        <v>515</v>
      </c>
      <c r="B16" t="s">
        <v>2</v>
      </c>
      <c r="C16" t="s">
        <v>144</v>
      </c>
      <c r="D16" t="e">
        <f>#REF!</f>
        <v>#REF!</v>
      </c>
      <c r="E16" s="10" t="e" cm="1">
        <f t="array" ref="E16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6" s="6">
        <f>FCO_C[[#This Row],[time value]]*FCO_C[[#This Row],[multiplicator]]</f>
        <v>8</v>
      </c>
      <c r="G16" s="11">
        <v>1</v>
      </c>
      <c r="H16" s="11">
        <v>8</v>
      </c>
      <c r="I16" s="13" t="s">
        <v>494</v>
      </c>
      <c r="J16" s="2" t="s">
        <v>516</v>
      </c>
      <c r="K16" s="2" t="s">
        <v>114</v>
      </c>
    </row>
    <row r="17" spans="1:11" x14ac:dyDescent="0.3">
      <c r="A17" t="s">
        <v>515</v>
      </c>
      <c r="B17" t="s">
        <v>2</v>
      </c>
      <c r="C17" t="s">
        <v>144</v>
      </c>
      <c r="D17" t="e">
        <f>#REF!</f>
        <v>#REF!</v>
      </c>
      <c r="E17" s="10" t="e" cm="1">
        <f t="array" ref="E17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7" s="6">
        <f>FCO_C[[#This Row],[time value]]*FCO_C[[#This Row],[multiplicator]]</f>
        <v>30</v>
      </c>
      <c r="G17" s="11">
        <v>1</v>
      </c>
      <c r="H17" s="11">
        <v>30</v>
      </c>
      <c r="I17" s="13" t="s">
        <v>494</v>
      </c>
      <c r="J17" s="2" t="s">
        <v>157</v>
      </c>
      <c r="K17" s="2" t="s">
        <v>100</v>
      </c>
    </row>
    <row r="18" spans="1:11" x14ac:dyDescent="0.3">
      <c r="A18" t="s">
        <v>515</v>
      </c>
      <c r="B18" t="s">
        <v>2</v>
      </c>
      <c r="C18" t="s">
        <v>144</v>
      </c>
      <c r="D18" t="e">
        <f>#REF!</f>
        <v>#REF!</v>
      </c>
      <c r="E18" s="10" t="e" cm="1">
        <f t="array" ref="E18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8" s="6">
        <f>FCO_C[[#This Row],[time value]]*FCO_C[[#This Row],[multiplicator]]</f>
        <v>35</v>
      </c>
      <c r="G18" s="11">
        <v>1</v>
      </c>
      <c r="H18" s="11">
        <v>35</v>
      </c>
      <c r="I18" s="13" t="s">
        <v>494</v>
      </c>
      <c r="J18" s="2" t="s">
        <v>160</v>
      </c>
      <c r="K18" s="2" t="s">
        <v>114</v>
      </c>
    </row>
    <row r="19" spans="1:11" x14ac:dyDescent="0.3">
      <c r="A19" t="s">
        <v>515</v>
      </c>
      <c r="B19" t="s">
        <v>2</v>
      </c>
      <c r="C19" t="s">
        <v>144</v>
      </c>
      <c r="D19" t="e">
        <f>#REF!</f>
        <v>#REF!</v>
      </c>
      <c r="E19" s="10" t="e" cm="1">
        <f t="array" ref="E19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19" s="6">
        <f>FCO_C[[#This Row],[time value]]*FCO_C[[#This Row],[multiplicator]]</f>
        <v>40</v>
      </c>
      <c r="G19" s="11">
        <v>1</v>
      </c>
      <c r="H19" s="11">
        <v>40</v>
      </c>
      <c r="I19" s="13" t="s">
        <v>494</v>
      </c>
      <c r="J19" s="2" t="s">
        <v>163</v>
      </c>
      <c r="K19" s="2" t="s">
        <v>164</v>
      </c>
    </row>
    <row r="20" spans="1:11" x14ac:dyDescent="0.3">
      <c r="A20" t="s">
        <v>515</v>
      </c>
      <c r="B20" t="s">
        <v>2</v>
      </c>
      <c r="C20" t="s">
        <v>144</v>
      </c>
      <c r="D20" t="e">
        <f>#REF!</f>
        <v>#REF!</v>
      </c>
      <c r="E20" s="10" t="e" cm="1">
        <f t="array" ref="E20">_xlfn.IFS(FCO_C[[#This Row],[reference wisle]]="KO",#REF!+(FCO_C[[#This Row],[Time to KO]]/1440),FCO_C[[#This Row],[reference wisle]]="FW",#REF!+(FCO_C[[#This Row],[Time to KO]]/1440),FCO_C[[#This Row],[reference wisle]]="EOD","End of Day")</f>
        <v>#REF!</v>
      </c>
      <c r="F20" s="6">
        <f>FCO_C[[#This Row],[time value]]*FCO_C[[#This Row],[multiplicator]]</f>
        <v>45</v>
      </c>
      <c r="G20" s="11">
        <v>1</v>
      </c>
      <c r="H20" s="11">
        <v>45</v>
      </c>
      <c r="I20" s="13" t="s">
        <v>494</v>
      </c>
      <c r="J20" s="2" t="s">
        <v>166</v>
      </c>
      <c r="K20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A977-F095-9148-A476-50A62B1601BE}">
  <sheetPr>
    <tabColor theme="8" tint="0.79998168889431442"/>
  </sheetPr>
  <dimension ref="A1:K20"/>
  <sheetViews>
    <sheetView workbookViewId="0">
      <selection activeCell="L1" sqref="L1"/>
    </sheetView>
  </sheetViews>
  <sheetFormatPr defaultColWidth="11" defaultRowHeight="15.6" x14ac:dyDescent="0.3"/>
  <cols>
    <col min="1" max="1" width="17.09765625" bestFit="1" customWidth="1"/>
    <col min="2" max="5" width="17.0976562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515</v>
      </c>
      <c r="B2" t="s">
        <v>2</v>
      </c>
      <c r="C2" t="s">
        <v>170</v>
      </c>
      <c r="D2" t="e">
        <f>#REF!</f>
        <v>#REF!</v>
      </c>
      <c r="E2" s="10" t="e" cm="1">
        <f t="array" ref="E2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2" s="6">
        <f>FCO_D[[#This Row],[time value]]*FCO_D[[#This Row],[multiplicator]]</f>
        <v>-50</v>
      </c>
      <c r="G2" s="11">
        <v>-1</v>
      </c>
      <c r="H2" s="11">
        <v>50</v>
      </c>
      <c r="I2" s="12" t="s">
        <v>202</v>
      </c>
      <c r="J2" s="2" t="s">
        <v>99</v>
      </c>
      <c r="K2" s="2" t="s">
        <v>100</v>
      </c>
    </row>
    <row r="3" spans="1:11" x14ac:dyDescent="0.3">
      <c r="A3" t="s">
        <v>515</v>
      </c>
      <c r="B3" t="s">
        <v>2</v>
      </c>
      <c r="C3" t="s">
        <v>170</v>
      </c>
      <c r="D3" t="e">
        <f>#REF!</f>
        <v>#REF!</v>
      </c>
      <c r="E3" s="10" t="e" cm="1">
        <f t="array" ref="E3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3" s="6">
        <f>FCO_D[[#This Row],[time value]]*FCO_D[[#This Row],[multiplicator]]</f>
        <v>-45</v>
      </c>
      <c r="G3" s="11">
        <v>-1</v>
      </c>
      <c r="H3" s="11">
        <v>45</v>
      </c>
      <c r="I3" s="12" t="s">
        <v>202</v>
      </c>
      <c r="J3" s="2" t="s">
        <v>103</v>
      </c>
      <c r="K3" s="2" t="s">
        <v>11</v>
      </c>
    </row>
    <row r="4" spans="1:11" x14ac:dyDescent="0.3">
      <c r="A4" t="s">
        <v>515</v>
      </c>
      <c r="B4" t="s">
        <v>2</v>
      </c>
      <c r="C4" t="s">
        <v>170</v>
      </c>
      <c r="D4" t="e">
        <f>#REF!</f>
        <v>#REF!</v>
      </c>
      <c r="E4" s="10" t="e" cm="1">
        <f t="array" ref="E4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4" s="6">
        <f>FCO_D[[#This Row],[time value]]*FCO_D[[#This Row],[multiplicator]]</f>
        <v>-40</v>
      </c>
      <c r="G4" s="11">
        <v>-1</v>
      </c>
      <c r="H4" s="11">
        <v>40</v>
      </c>
      <c r="I4" s="12" t="s">
        <v>202</v>
      </c>
      <c r="J4" s="2" t="s">
        <v>108</v>
      </c>
      <c r="K4" s="2" t="s">
        <v>11</v>
      </c>
    </row>
    <row r="5" spans="1:11" x14ac:dyDescent="0.3">
      <c r="A5" t="s">
        <v>515</v>
      </c>
      <c r="B5" t="s">
        <v>2</v>
      </c>
      <c r="C5" t="s">
        <v>170</v>
      </c>
      <c r="D5" t="e">
        <f>#REF!</f>
        <v>#REF!</v>
      </c>
      <c r="E5" s="10" t="e" cm="1">
        <f t="array" ref="E5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5" s="6">
        <f>FCO_D[[#This Row],[time value]]*FCO_D[[#This Row],[multiplicator]]</f>
        <v>-35</v>
      </c>
      <c r="G5" s="11">
        <v>-1</v>
      </c>
      <c r="H5" s="11">
        <v>35</v>
      </c>
      <c r="I5" s="12" t="s">
        <v>202</v>
      </c>
      <c r="J5" s="2" t="s">
        <v>109</v>
      </c>
      <c r="K5" s="2" t="s">
        <v>11</v>
      </c>
    </row>
    <row r="6" spans="1:11" x14ac:dyDescent="0.3">
      <c r="A6" t="s">
        <v>515</v>
      </c>
      <c r="B6" t="s">
        <v>2</v>
      </c>
      <c r="C6" t="s">
        <v>170</v>
      </c>
      <c r="D6" t="e">
        <f>#REF!</f>
        <v>#REF!</v>
      </c>
      <c r="E6" s="10" t="e" cm="1">
        <f t="array" ref="E6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6" s="6">
        <f>FCO_D[[#This Row],[time value]]*FCO_D[[#This Row],[multiplicator]]</f>
        <v>-30</v>
      </c>
      <c r="G6" s="11">
        <v>-1</v>
      </c>
      <c r="H6" s="11">
        <v>30</v>
      </c>
      <c r="I6" s="12" t="s">
        <v>202</v>
      </c>
      <c r="J6" s="2" t="s">
        <v>110</v>
      </c>
      <c r="K6" s="2" t="s">
        <v>11</v>
      </c>
    </row>
    <row r="7" spans="1:11" x14ac:dyDescent="0.3">
      <c r="A7" t="s">
        <v>515</v>
      </c>
      <c r="B7" t="s">
        <v>2</v>
      </c>
      <c r="C7" t="s">
        <v>170</v>
      </c>
      <c r="D7" t="e">
        <f>#REF!</f>
        <v>#REF!</v>
      </c>
      <c r="E7" s="10" t="e" cm="1">
        <f t="array" ref="E7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7" s="6">
        <f>FCO_D[[#This Row],[time value]]*FCO_D[[#This Row],[multiplicator]]</f>
        <v>-25</v>
      </c>
      <c r="G7" s="11">
        <v>-1</v>
      </c>
      <c r="H7" s="11">
        <v>25</v>
      </c>
      <c r="I7" s="12" t="s">
        <v>202</v>
      </c>
      <c r="J7" s="2" t="s">
        <v>113</v>
      </c>
      <c r="K7" s="2" t="s">
        <v>114</v>
      </c>
    </row>
    <row r="8" spans="1:11" x14ac:dyDescent="0.3">
      <c r="A8" t="s">
        <v>515</v>
      </c>
      <c r="B8" t="s">
        <v>2</v>
      </c>
      <c r="C8" t="s">
        <v>170</v>
      </c>
      <c r="D8" t="e">
        <f>#REF!</f>
        <v>#REF!</v>
      </c>
      <c r="E8" s="10" t="e" cm="1">
        <f t="array" ref="E8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8" s="6">
        <f>FCO_D[[#This Row],[time value]]*FCO_D[[#This Row],[multiplicator]]</f>
        <v>-16</v>
      </c>
      <c r="G8" s="11">
        <v>-1</v>
      </c>
      <c r="H8" s="11">
        <v>16</v>
      </c>
      <c r="I8" s="12" t="s">
        <v>202</v>
      </c>
      <c r="J8" s="2" t="s">
        <v>117</v>
      </c>
      <c r="K8" s="2" t="s">
        <v>114</v>
      </c>
    </row>
    <row r="9" spans="1:11" x14ac:dyDescent="0.3">
      <c r="A9" t="s">
        <v>515</v>
      </c>
      <c r="B9" t="s">
        <v>2</v>
      </c>
      <c r="C9" t="s">
        <v>170</v>
      </c>
      <c r="D9" t="e">
        <f>#REF!</f>
        <v>#REF!</v>
      </c>
      <c r="E9" s="10" t="e" cm="1">
        <f t="array" ref="E9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9" s="6">
        <f>FCO_D[[#This Row],[time value]]*FCO_D[[#This Row],[multiplicator]]</f>
        <v>-15</v>
      </c>
      <c r="G9" s="11">
        <v>-1</v>
      </c>
      <c r="H9" s="11">
        <v>15</v>
      </c>
      <c r="I9" s="12" t="s">
        <v>202</v>
      </c>
      <c r="J9" s="2" t="s">
        <v>118</v>
      </c>
      <c r="K9" s="2" t="s">
        <v>119</v>
      </c>
    </row>
    <row r="10" spans="1:11" x14ac:dyDescent="0.3">
      <c r="A10" t="s">
        <v>515</v>
      </c>
      <c r="B10" t="s">
        <v>2</v>
      </c>
      <c r="C10" t="s">
        <v>170</v>
      </c>
      <c r="D10" t="e">
        <f>#REF!</f>
        <v>#REF!</v>
      </c>
      <c r="E10" s="10" t="e" cm="1">
        <f t="array" ref="E10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0" s="6">
        <f>FCO_D[[#This Row],[time value]]*FCO_D[[#This Row],[multiplicator]]</f>
        <v>-14</v>
      </c>
      <c r="G10" s="11">
        <v>-1</v>
      </c>
      <c r="H10" s="11">
        <v>14</v>
      </c>
      <c r="I10" s="12" t="s">
        <v>202</v>
      </c>
      <c r="J10" s="2" t="s">
        <v>122</v>
      </c>
      <c r="K10" s="2" t="s">
        <v>119</v>
      </c>
    </row>
    <row r="11" spans="1:11" x14ac:dyDescent="0.3">
      <c r="A11" t="s">
        <v>515</v>
      </c>
      <c r="B11" t="s">
        <v>2</v>
      </c>
      <c r="C11" t="s">
        <v>170</v>
      </c>
      <c r="D11" t="e">
        <f>#REF!</f>
        <v>#REF!</v>
      </c>
      <c r="E11" s="10" t="e" cm="1">
        <f t="array" ref="E11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1" s="6">
        <f>FCO_D[[#This Row],[time value]]*FCO_D[[#This Row],[multiplicator]]</f>
        <v>0</v>
      </c>
      <c r="G11" s="11">
        <v>1</v>
      </c>
      <c r="H11" s="11">
        <v>0</v>
      </c>
      <c r="I11" s="12" t="s">
        <v>202</v>
      </c>
      <c r="J11" s="2" t="s">
        <v>125</v>
      </c>
      <c r="K11" s="2"/>
    </row>
    <row r="12" spans="1:11" x14ac:dyDescent="0.3">
      <c r="A12" t="s">
        <v>515</v>
      </c>
      <c r="B12" t="s">
        <v>2</v>
      </c>
      <c r="C12" t="s">
        <v>170</v>
      </c>
      <c r="D12" t="e">
        <f>#REF!</f>
        <v>#REF!</v>
      </c>
      <c r="E12" s="10" t="e" cm="1">
        <f t="array" ref="E12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2" s="6">
        <f>FCO_D[[#This Row],[time value]]*FCO_D[[#This Row],[multiplicator]]</f>
        <v>0</v>
      </c>
      <c r="G12" s="11">
        <v>1</v>
      </c>
      <c r="H12" s="11">
        <v>0</v>
      </c>
      <c r="I12" s="12" t="s">
        <v>202</v>
      </c>
      <c r="J12" s="2" t="s">
        <v>126</v>
      </c>
      <c r="K12" s="2" t="s">
        <v>127</v>
      </c>
    </row>
    <row r="13" spans="1:11" x14ac:dyDescent="0.3">
      <c r="A13" t="s">
        <v>515</v>
      </c>
      <c r="B13" t="s">
        <v>2</v>
      </c>
      <c r="C13" t="s">
        <v>170</v>
      </c>
      <c r="D13" t="e">
        <f>#REF!</f>
        <v>#REF!</v>
      </c>
      <c r="E13" s="10" t="e" cm="1">
        <f t="array" ref="E13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3" s="6">
        <f>FCO_D[[#This Row],[time value]]*FCO_D[[#This Row],[multiplicator]]</f>
        <v>45</v>
      </c>
      <c r="G13" s="11">
        <v>1</v>
      </c>
      <c r="H13" s="11">
        <v>45</v>
      </c>
      <c r="I13" s="12" t="s">
        <v>202</v>
      </c>
      <c r="J13" s="2" t="s">
        <v>139</v>
      </c>
      <c r="K13" s="2"/>
    </row>
    <row r="14" spans="1:11" x14ac:dyDescent="0.3">
      <c r="A14" t="s">
        <v>515</v>
      </c>
      <c r="B14" t="s">
        <v>2</v>
      </c>
      <c r="C14" t="s">
        <v>170</v>
      </c>
      <c r="D14" t="e">
        <f>#REF!</f>
        <v>#REF!</v>
      </c>
      <c r="E14" s="10" t="e" cm="1">
        <f t="array" ref="E14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4" s="6">
        <f>FCO_D[[#This Row],[time value]]*FCO_D[[#This Row],[multiplicator]]</f>
        <v>60</v>
      </c>
      <c r="G14" s="11">
        <v>1</v>
      </c>
      <c r="H14" s="11">
        <v>60</v>
      </c>
      <c r="I14" s="12" t="s">
        <v>202</v>
      </c>
      <c r="J14" s="2" t="s">
        <v>126</v>
      </c>
      <c r="K14" s="2" t="s">
        <v>127</v>
      </c>
    </row>
    <row r="15" spans="1:11" x14ac:dyDescent="0.3">
      <c r="A15" t="s">
        <v>515</v>
      </c>
      <c r="B15" t="s">
        <v>2</v>
      </c>
      <c r="C15" t="s">
        <v>170</v>
      </c>
      <c r="D15" t="e">
        <f>#REF!</f>
        <v>#REF!</v>
      </c>
      <c r="E15" s="10" t="e" cm="1">
        <f t="array" ref="E15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5" s="6">
        <f>FCO_D[[#This Row],[time value]]*FCO_D[[#This Row],[multiplicator]]</f>
        <v>0</v>
      </c>
      <c r="G15" s="11">
        <v>1</v>
      </c>
      <c r="H15" s="11"/>
      <c r="I15" s="13" t="s">
        <v>494</v>
      </c>
      <c r="J15" s="2" t="s">
        <v>143</v>
      </c>
      <c r="K15" s="2"/>
    </row>
    <row r="16" spans="1:11" x14ac:dyDescent="0.3">
      <c r="A16" t="s">
        <v>515</v>
      </c>
      <c r="B16" t="s">
        <v>2</v>
      </c>
      <c r="C16" t="s">
        <v>170</v>
      </c>
      <c r="D16" t="e">
        <f>#REF!</f>
        <v>#REF!</v>
      </c>
      <c r="E16" s="10" t="e" cm="1">
        <f t="array" ref="E16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6" s="6">
        <f>FCO_D[[#This Row],[time value]]*FCO_D[[#This Row],[multiplicator]]</f>
        <v>8</v>
      </c>
      <c r="G16" s="11">
        <v>1</v>
      </c>
      <c r="H16" s="11">
        <v>8</v>
      </c>
      <c r="I16" s="13" t="s">
        <v>494</v>
      </c>
      <c r="J16" s="2" t="s">
        <v>516</v>
      </c>
      <c r="K16" s="2" t="s">
        <v>114</v>
      </c>
    </row>
    <row r="17" spans="1:11" x14ac:dyDescent="0.3">
      <c r="A17" t="s">
        <v>515</v>
      </c>
      <c r="B17" t="s">
        <v>2</v>
      </c>
      <c r="C17" t="s">
        <v>170</v>
      </c>
      <c r="D17" t="e">
        <f>#REF!</f>
        <v>#REF!</v>
      </c>
      <c r="E17" s="10" t="e" cm="1">
        <f t="array" ref="E17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7" s="6">
        <f>FCO_D[[#This Row],[time value]]*FCO_D[[#This Row],[multiplicator]]</f>
        <v>30</v>
      </c>
      <c r="G17" s="11">
        <v>1</v>
      </c>
      <c r="H17" s="11">
        <v>30</v>
      </c>
      <c r="I17" s="13" t="s">
        <v>494</v>
      </c>
      <c r="J17" s="2" t="s">
        <v>157</v>
      </c>
      <c r="K17" s="2" t="s">
        <v>100</v>
      </c>
    </row>
    <row r="18" spans="1:11" x14ac:dyDescent="0.3">
      <c r="A18" t="s">
        <v>515</v>
      </c>
      <c r="B18" t="s">
        <v>2</v>
      </c>
      <c r="C18" t="s">
        <v>170</v>
      </c>
      <c r="D18" t="e">
        <f>#REF!</f>
        <v>#REF!</v>
      </c>
      <c r="E18" s="10" t="e" cm="1">
        <f t="array" ref="E18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8" s="6">
        <f>FCO_D[[#This Row],[time value]]*FCO_D[[#This Row],[multiplicator]]</f>
        <v>35</v>
      </c>
      <c r="G18" s="11">
        <v>1</v>
      </c>
      <c r="H18" s="11">
        <v>35</v>
      </c>
      <c r="I18" s="13" t="s">
        <v>494</v>
      </c>
      <c r="J18" s="2" t="s">
        <v>160</v>
      </c>
      <c r="K18" s="2" t="s">
        <v>114</v>
      </c>
    </row>
    <row r="19" spans="1:11" x14ac:dyDescent="0.3">
      <c r="A19" t="s">
        <v>515</v>
      </c>
      <c r="B19" t="s">
        <v>2</v>
      </c>
      <c r="C19" t="s">
        <v>170</v>
      </c>
      <c r="D19" t="e">
        <f>#REF!</f>
        <v>#REF!</v>
      </c>
      <c r="E19" s="10" t="e" cm="1">
        <f t="array" ref="E19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19" s="6">
        <f>FCO_D[[#This Row],[time value]]*FCO_D[[#This Row],[multiplicator]]</f>
        <v>40</v>
      </c>
      <c r="G19" s="11">
        <v>1</v>
      </c>
      <c r="H19" s="11">
        <v>40</v>
      </c>
      <c r="I19" s="13" t="s">
        <v>494</v>
      </c>
      <c r="J19" s="2" t="s">
        <v>163</v>
      </c>
      <c r="K19" s="2" t="s">
        <v>164</v>
      </c>
    </row>
    <row r="20" spans="1:11" x14ac:dyDescent="0.3">
      <c r="A20" t="s">
        <v>515</v>
      </c>
      <c r="B20" t="s">
        <v>2</v>
      </c>
      <c r="C20" t="s">
        <v>170</v>
      </c>
      <c r="D20" t="e">
        <f>#REF!</f>
        <v>#REF!</v>
      </c>
      <c r="E20" s="10" t="e" cm="1">
        <f t="array" ref="E20">_xlfn.IFS(FCO_D[[#This Row],[reference wisle]]="KO",#REF!+(FCO_D[[#This Row],[Time to KO]]/1440),FCO_D[[#This Row],[reference wisle]]="FW",#REF!+(FCO_D[[#This Row],[Time to KO]]/1440),FCO_D[[#This Row],[reference wisle]]="EOD","End of Day")</f>
        <v>#REF!</v>
      </c>
      <c r="F20" s="6">
        <f>FCO_D[[#This Row],[time value]]*FCO_D[[#This Row],[multiplicator]]</f>
        <v>45</v>
      </c>
      <c r="G20" s="11">
        <v>1</v>
      </c>
      <c r="H20" s="11">
        <v>45</v>
      </c>
      <c r="I20" s="13" t="s">
        <v>494</v>
      </c>
      <c r="J20" s="2" t="s">
        <v>166</v>
      </c>
      <c r="K20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D44E-D83D-6544-B1F0-ADA5B6F85969}">
  <sheetPr>
    <tabColor theme="7" tint="0.79998168889431442"/>
  </sheetPr>
  <dimension ref="A1:K16"/>
  <sheetViews>
    <sheetView workbookViewId="0">
      <selection activeCell="J16" sqref="J16"/>
    </sheetView>
  </sheetViews>
  <sheetFormatPr defaultColWidth="11" defaultRowHeight="15.6" x14ac:dyDescent="0.3"/>
  <cols>
    <col min="1" max="1" width="13" bestFit="1" customWidth="1"/>
    <col min="2" max="4" width="13" customWidth="1"/>
    <col min="5" max="5" width="13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498</v>
      </c>
      <c r="B2" t="s">
        <v>2</v>
      </c>
      <c r="C2" t="s">
        <v>30</v>
      </c>
      <c r="D2" t="e">
        <f>#REF!</f>
        <v>#REF!</v>
      </c>
      <c r="E2" s="10" t="e" cm="1">
        <f t="array" ref="E2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2" s="6">
        <f>RIS_A[[#This Row],[time value]]*RIS_A[[#This Row],[multiplicator]]</f>
        <v>-75</v>
      </c>
      <c r="G2" s="11">
        <v>-1</v>
      </c>
      <c r="H2" s="11">
        <v>75</v>
      </c>
      <c r="I2" s="12" t="s">
        <v>202</v>
      </c>
      <c r="J2" s="2" t="s">
        <v>87</v>
      </c>
      <c r="K2" s="2" t="s">
        <v>88</v>
      </c>
    </row>
    <row r="3" spans="1:11" x14ac:dyDescent="0.3">
      <c r="A3" t="s">
        <v>498</v>
      </c>
      <c r="B3" t="s">
        <v>2</v>
      </c>
      <c r="C3" t="s">
        <v>30</v>
      </c>
      <c r="D3" t="e">
        <f>#REF!</f>
        <v>#REF!</v>
      </c>
      <c r="E3" s="10" t="e" cm="1">
        <f t="array" ref="E3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3" s="6">
        <f>RIS_A[[#This Row],[time value]]*RIS_A[[#This Row],[multiplicator]]</f>
        <v>-70</v>
      </c>
      <c r="G3" s="11">
        <v>-1</v>
      </c>
      <c r="H3" s="3">
        <v>70</v>
      </c>
      <c r="I3" s="12" t="s">
        <v>202</v>
      </c>
      <c r="J3" s="2" t="s">
        <v>89</v>
      </c>
      <c r="K3" s="2" t="s">
        <v>11</v>
      </c>
    </row>
    <row r="4" spans="1:11" x14ac:dyDescent="0.3">
      <c r="A4" t="s">
        <v>498</v>
      </c>
      <c r="B4" t="s">
        <v>2</v>
      </c>
      <c r="C4" t="s">
        <v>30</v>
      </c>
      <c r="D4" t="e">
        <f>#REF!</f>
        <v>#REF!</v>
      </c>
      <c r="E4" s="10" t="e" cm="1">
        <f t="array" ref="E4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4" s="6">
        <f>RIS_A[[#This Row],[time value]]*RIS_A[[#This Row],[multiplicator]]</f>
        <v>-65</v>
      </c>
      <c r="G4" s="11">
        <v>-1</v>
      </c>
      <c r="H4" s="3">
        <v>65</v>
      </c>
      <c r="I4" s="12" t="s">
        <v>202</v>
      </c>
      <c r="J4" s="2" t="s">
        <v>90</v>
      </c>
      <c r="K4" s="2" t="s">
        <v>11</v>
      </c>
    </row>
    <row r="5" spans="1:11" x14ac:dyDescent="0.3">
      <c r="A5" t="s">
        <v>498</v>
      </c>
      <c r="B5" t="s">
        <v>2</v>
      </c>
      <c r="C5" t="s">
        <v>30</v>
      </c>
      <c r="D5" t="e">
        <f>#REF!</f>
        <v>#REF!</v>
      </c>
      <c r="E5" s="10" t="e" cm="1">
        <f t="array" ref="E5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5" s="6">
        <f>RIS_A[[#This Row],[time value]]*RIS_A[[#This Row],[multiplicator]]</f>
        <v>-60</v>
      </c>
      <c r="G5" s="11">
        <v>-1</v>
      </c>
      <c r="H5" s="3">
        <v>60</v>
      </c>
      <c r="I5" s="12" t="s">
        <v>202</v>
      </c>
      <c r="J5" s="2" t="s">
        <v>94</v>
      </c>
      <c r="K5" s="2" t="s">
        <v>11</v>
      </c>
    </row>
    <row r="6" spans="1:11" x14ac:dyDescent="0.3">
      <c r="A6" t="s">
        <v>498</v>
      </c>
      <c r="B6" t="s">
        <v>2</v>
      </c>
      <c r="C6" t="s">
        <v>30</v>
      </c>
      <c r="D6" t="e">
        <f>#REF!</f>
        <v>#REF!</v>
      </c>
      <c r="E6" s="10" t="e" cm="1">
        <f t="array" ref="E6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6" s="6">
        <f>RIS_A[[#This Row],[time value]]*RIS_A[[#This Row],[multiplicator]]</f>
        <v>-55</v>
      </c>
      <c r="G6" s="11">
        <v>-1</v>
      </c>
      <c r="H6" s="3">
        <v>55</v>
      </c>
      <c r="I6" s="12" t="s">
        <v>202</v>
      </c>
      <c r="J6" s="2" t="s">
        <v>96</v>
      </c>
      <c r="K6" s="2" t="s">
        <v>97</v>
      </c>
    </row>
    <row r="7" spans="1:11" x14ac:dyDescent="0.3">
      <c r="A7" t="s">
        <v>498</v>
      </c>
      <c r="B7" t="s">
        <v>2</v>
      </c>
      <c r="C7" t="s">
        <v>30</v>
      </c>
      <c r="D7" t="e">
        <f>#REF!</f>
        <v>#REF!</v>
      </c>
      <c r="E7" s="10" t="e" cm="1">
        <f t="array" ref="E7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7" s="6">
        <f>RIS_A[[#This Row],[time value]]*RIS_A[[#This Row],[multiplicator]]</f>
        <v>-50</v>
      </c>
      <c r="G7" s="11">
        <v>-1</v>
      </c>
      <c r="H7" s="3">
        <v>50</v>
      </c>
      <c r="I7" s="12" t="s">
        <v>202</v>
      </c>
      <c r="J7" s="2" t="s">
        <v>101</v>
      </c>
      <c r="K7" s="2" t="s">
        <v>11</v>
      </c>
    </row>
    <row r="8" spans="1:11" x14ac:dyDescent="0.3">
      <c r="A8" t="s">
        <v>498</v>
      </c>
      <c r="B8" t="s">
        <v>2</v>
      </c>
      <c r="C8" t="s">
        <v>30</v>
      </c>
      <c r="D8" t="e">
        <f>#REF!</f>
        <v>#REF!</v>
      </c>
      <c r="E8" s="10" t="e" cm="1">
        <f t="array" ref="E8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8" s="6">
        <f>RIS_A[[#This Row],[time value]]*RIS_A[[#This Row],[multiplicator]]</f>
        <v>-45</v>
      </c>
      <c r="G8" s="11">
        <v>-1</v>
      </c>
      <c r="H8" s="3">
        <v>45</v>
      </c>
      <c r="I8" s="12" t="s">
        <v>202</v>
      </c>
      <c r="J8" s="2" t="s">
        <v>104</v>
      </c>
      <c r="K8" s="2"/>
    </row>
    <row r="9" spans="1:11" x14ac:dyDescent="0.3">
      <c r="A9" t="s">
        <v>498</v>
      </c>
      <c r="B9" t="s">
        <v>2</v>
      </c>
      <c r="C9" t="s">
        <v>30</v>
      </c>
      <c r="D9" t="e">
        <f>#REF!</f>
        <v>#REF!</v>
      </c>
      <c r="E9" s="10" t="e" cm="1">
        <f t="array" ref="E9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9" s="6">
        <f>RIS_A[[#This Row],[time value]]*RIS_A[[#This Row],[multiplicator]]</f>
        <v>-14</v>
      </c>
      <c r="G9" s="11">
        <v>-1</v>
      </c>
      <c r="H9" s="3">
        <v>14</v>
      </c>
      <c r="I9" s="12" t="s">
        <v>202</v>
      </c>
      <c r="J9" s="2" t="s">
        <v>123</v>
      </c>
      <c r="K9" s="2" t="s">
        <v>124</v>
      </c>
    </row>
    <row r="10" spans="1:11" x14ac:dyDescent="0.3">
      <c r="A10" t="s">
        <v>498</v>
      </c>
      <c r="B10" t="s">
        <v>2</v>
      </c>
      <c r="C10" t="s">
        <v>30</v>
      </c>
      <c r="D10" t="e">
        <f>#REF!</f>
        <v>#REF!</v>
      </c>
      <c r="E10" s="10" t="e" cm="1">
        <f t="array" ref="E10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10" s="6">
        <f>RIS_A[[#This Row],[time value]]*RIS_A[[#This Row],[multiplicator]]</f>
        <v>0</v>
      </c>
      <c r="G10" s="3">
        <v>1</v>
      </c>
      <c r="H10" s="3">
        <v>0</v>
      </c>
      <c r="I10" s="12" t="s">
        <v>202</v>
      </c>
      <c r="J10" s="2" t="s">
        <v>125</v>
      </c>
      <c r="K10" s="2"/>
    </row>
    <row r="11" spans="1:11" x14ac:dyDescent="0.3">
      <c r="A11" t="s">
        <v>498</v>
      </c>
      <c r="B11" t="s">
        <v>2</v>
      </c>
      <c r="C11" t="s">
        <v>30</v>
      </c>
      <c r="D11" t="e">
        <f>#REF!</f>
        <v>#REF!</v>
      </c>
      <c r="E11" s="10" t="e" cm="1">
        <f t="array" ref="E11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11" s="6">
        <f>RIS_A[[#This Row],[time value]]*RIS_A[[#This Row],[multiplicator]]</f>
        <v>0</v>
      </c>
      <c r="G11" s="3">
        <v>1</v>
      </c>
      <c r="H11" s="3">
        <v>0</v>
      </c>
      <c r="I11" s="12" t="s">
        <v>202</v>
      </c>
      <c r="J11" s="2" t="s">
        <v>128</v>
      </c>
      <c r="K11" s="2" t="s">
        <v>124</v>
      </c>
    </row>
    <row r="12" spans="1:11" x14ac:dyDescent="0.3">
      <c r="A12" t="s">
        <v>498</v>
      </c>
      <c r="B12" t="s">
        <v>2</v>
      </c>
      <c r="C12" t="s">
        <v>30</v>
      </c>
      <c r="D12" t="e">
        <f>#REF!</f>
        <v>#REF!</v>
      </c>
      <c r="E12" s="10" t="e" cm="1">
        <f t="array" ref="E12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12" s="6">
        <f>RIS_A[[#This Row],[time value]]*RIS_A[[#This Row],[multiplicator]]</f>
        <v>45</v>
      </c>
      <c r="G12" s="3">
        <v>1</v>
      </c>
      <c r="H12" s="3">
        <v>45</v>
      </c>
      <c r="I12" s="12" t="s">
        <v>202</v>
      </c>
      <c r="J12" s="2" t="s">
        <v>139</v>
      </c>
      <c r="K12" s="2"/>
    </row>
    <row r="13" spans="1:11" x14ac:dyDescent="0.3">
      <c r="A13" t="s">
        <v>498</v>
      </c>
      <c r="B13" t="s">
        <v>2</v>
      </c>
      <c r="C13" t="s">
        <v>30</v>
      </c>
      <c r="D13" t="e">
        <f>#REF!</f>
        <v>#REF!</v>
      </c>
      <c r="E13" s="10" t="e" cm="1">
        <f t="array" ref="E13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13" s="6">
        <f>RIS_A[[#This Row],[time value]]*RIS_A[[#This Row],[multiplicator]]</f>
        <v>60</v>
      </c>
      <c r="G13" s="3">
        <v>1</v>
      </c>
      <c r="H13" s="3">
        <v>60</v>
      </c>
      <c r="I13" s="12" t="s">
        <v>202</v>
      </c>
      <c r="J13" s="2" t="s">
        <v>140</v>
      </c>
      <c r="K13" s="2" t="s">
        <v>124</v>
      </c>
    </row>
    <row r="14" spans="1:11" x14ac:dyDescent="0.3">
      <c r="A14" t="s">
        <v>498</v>
      </c>
      <c r="B14" t="s">
        <v>2</v>
      </c>
      <c r="C14" t="s">
        <v>30</v>
      </c>
      <c r="D14" t="e">
        <f>#REF!</f>
        <v>#REF!</v>
      </c>
      <c r="E14" s="10" t="e" cm="1">
        <f t="array" ref="E14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14" s="6">
        <f>RIS_A[[#This Row],[time value]]*RIS_A[[#This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1" x14ac:dyDescent="0.3">
      <c r="A15" t="s">
        <v>498</v>
      </c>
      <c r="B15" t="s">
        <v>2</v>
      </c>
      <c r="C15" t="s">
        <v>30</v>
      </c>
      <c r="D15" t="e">
        <f>#REF!</f>
        <v>#REF!</v>
      </c>
      <c r="E15" s="10" t="e" cm="1">
        <f t="array" ref="E15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15" s="6">
        <f>RIS_A[[#This Row],[time value]]*RIS_A[[#This Row],[multiplicator]]</f>
        <v>15</v>
      </c>
      <c r="G15" s="3">
        <v>1</v>
      </c>
      <c r="H15" s="3">
        <v>15</v>
      </c>
      <c r="I15" s="14" t="s">
        <v>494</v>
      </c>
      <c r="J15" s="2" t="s">
        <v>517</v>
      </c>
      <c r="K15" s="2" t="s">
        <v>11</v>
      </c>
    </row>
    <row r="16" spans="1:11" x14ac:dyDescent="0.3">
      <c r="A16" t="s">
        <v>498</v>
      </c>
      <c r="B16" t="s">
        <v>2</v>
      </c>
      <c r="C16" t="s">
        <v>30</v>
      </c>
      <c r="D16" t="e">
        <f>#REF!</f>
        <v>#REF!</v>
      </c>
      <c r="E16" s="10" t="e" cm="1">
        <f t="array" ref="E16">_xlfn.IFS(RIS_A[[#This Row],[reference wisle]]="KO",#REF!+(RIS_A[[#This Row],[Time to KO]]/1440),RIS_A[[#This Row],[reference wisle]]="FW",#REF!+(RIS_A[[#This Row],[Time to KO]]/1440),RIS_A[[#This Row],[reference wisle]]="EOD","End of Day")</f>
        <v>#REF!</v>
      </c>
      <c r="F16" s="6">
        <f>RIS_A[[#This Row],[time value]]*RIS_A[[#This Row],[multiplicator]]</f>
        <v>60</v>
      </c>
      <c r="G16" s="3">
        <v>1</v>
      </c>
      <c r="H16" s="3">
        <v>60</v>
      </c>
      <c r="I16" s="14" t="s">
        <v>494</v>
      </c>
      <c r="J16" s="2" t="s">
        <v>518</v>
      </c>
      <c r="K16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7B24-82DC-C642-89C1-065E2EEF4EB8}">
  <sheetPr>
    <tabColor theme="7" tint="0.79998168889431442"/>
  </sheetPr>
  <dimension ref="A1:K16"/>
  <sheetViews>
    <sheetView workbookViewId="0">
      <selection activeCell="J16" sqref="J16"/>
    </sheetView>
  </sheetViews>
  <sheetFormatPr defaultColWidth="11" defaultRowHeight="15.6" x14ac:dyDescent="0.3"/>
  <cols>
    <col min="1" max="1" width="13" bestFit="1" customWidth="1"/>
    <col min="2" max="5" width="13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498</v>
      </c>
      <c r="B2" t="s">
        <v>2</v>
      </c>
      <c r="C2" t="s">
        <v>91</v>
      </c>
      <c r="D2" t="e">
        <f>#REF!</f>
        <v>#REF!</v>
      </c>
      <c r="E2" s="10" t="e" cm="1">
        <f t="array" ref="E2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2" s="6">
        <f>RIS_B[[#This Row],[time value]]*RIS_B[[#This Row],[multiplicator]]</f>
        <v>-75</v>
      </c>
      <c r="G2" s="11">
        <v>-1</v>
      </c>
      <c r="H2" s="11">
        <v>75</v>
      </c>
      <c r="I2" s="12" t="s">
        <v>202</v>
      </c>
      <c r="J2" s="2" t="s">
        <v>87</v>
      </c>
      <c r="K2" s="2" t="s">
        <v>88</v>
      </c>
    </row>
    <row r="3" spans="1:11" x14ac:dyDescent="0.3">
      <c r="A3" t="s">
        <v>498</v>
      </c>
      <c r="B3" t="s">
        <v>2</v>
      </c>
      <c r="C3" t="s">
        <v>91</v>
      </c>
      <c r="D3" t="e">
        <f>#REF!</f>
        <v>#REF!</v>
      </c>
      <c r="E3" s="10" t="e" cm="1">
        <f t="array" ref="E3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3" s="6">
        <f>RIS_B[[#This Row],[time value]]*RIS_B[[#This Row],[multiplicator]]</f>
        <v>-70</v>
      </c>
      <c r="G3" s="11">
        <v>-1</v>
      </c>
      <c r="H3" s="3">
        <v>70</v>
      </c>
      <c r="I3" s="12" t="s">
        <v>202</v>
      </c>
      <c r="J3" s="2" t="s">
        <v>89</v>
      </c>
      <c r="K3" s="2" t="s">
        <v>11</v>
      </c>
    </row>
    <row r="4" spans="1:11" x14ac:dyDescent="0.3">
      <c r="A4" t="s">
        <v>498</v>
      </c>
      <c r="B4" t="s">
        <v>2</v>
      </c>
      <c r="C4" t="s">
        <v>91</v>
      </c>
      <c r="D4" t="e">
        <f>#REF!</f>
        <v>#REF!</v>
      </c>
      <c r="E4" s="10" t="e" cm="1">
        <f t="array" ref="E4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4" s="6">
        <f>RIS_B[[#This Row],[time value]]*RIS_B[[#This Row],[multiplicator]]</f>
        <v>-65</v>
      </c>
      <c r="G4" s="11">
        <v>-1</v>
      </c>
      <c r="H4" s="3">
        <v>65</v>
      </c>
      <c r="I4" s="12" t="s">
        <v>202</v>
      </c>
      <c r="J4" s="2" t="s">
        <v>90</v>
      </c>
      <c r="K4" s="2" t="s">
        <v>11</v>
      </c>
    </row>
    <row r="5" spans="1:11" x14ac:dyDescent="0.3">
      <c r="A5" t="s">
        <v>498</v>
      </c>
      <c r="B5" t="s">
        <v>2</v>
      </c>
      <c r="C5" t="s">
        <v>91</v>
      </c>
      <c r="D5" t="e">
        <f>#REF!</f>
        <v>#REF!</v>
      </c>
      <c r="E5" s="10" t="e" cm="1">
        <f t="array" ref="E5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5" s="6">
        <f>RIS_B[[#This Row],[time value]]*RIS_B[[#This Row],[multiplicator]]</f>
        <v>-60</v>
      </c>
      <c r="G5" s="11">
        <v>-1</v>
      </c>
      <c r="H5" s="3">
        <v>60</v>
      </c>
      <c r="I5" s="12" t="s">
        <v>202</v>
      </c>
      <c r="J5" s="2" t="s">
        <v>94</v>
      </c>
      <c r="K5" s="2" t="s">
        <v>11</v>
      </c>
    </row>
    <row r="6" spans="1:11" x14ac:dyDescent="0.3">
      <c r="A6" t="s">
        <v>498</v>
      </c>
      <c r="B6" t="s">
        <v>2</v>
      </c>
      <c r="C6" t="s">
        <v>91</v>
      </c>
      <c r="D6" t="e">
        <f>#REF!</f>
        <v>#REF!</v>
      </c>
      <c r="E6" s="10" t="e" cm="1">
        <f t="array" ref="E6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6" s="6">
        <f>RIS_B[[#This Row],[time value]]*RIS_B[[#This Row],[multiplicator]]</f>
        <v>-55</v>
      </c>
      <c r="G6" s="11">
        <v>-1</v>
      </c>
      <c r="H6" s="3">
        <v>55</v>
      </c>
      <c r="I6" s="12" t="s">
        <v>202</v>
      </c>
      <c r="J6" s="2" t="s">
        <v>96</v>
      </c>
      <c r="K6" s="2" t="s">
        <v>97</v>
      </c>
    </row>
    <row r="7" spans="1:11" x14ac:dyDescent="0.3">
      <c r="A7" t="s">
        <v>498</v>
      </c>
      <c r="B7" t="s">
        <v>2</v>
      </c>
      <c r="C7" t="s">
        <v>91</v>
      </c>
      <c r="D7" t="e">
        <f>#REF!</f>
        <v>#REF!</v>
      </c>
      <c r="E7" s="10" t="e" cm="1">
        <f t="array" ref="E7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7" s="6">
        <f>RIS_B[[#This Row],[time value]]*RIS_B[[#This Row],[multiplicator]]</f>
        <v>-50</v>
      </c>
      <c r="G7" s="11">
        <v>-1</v>
      </c>
      <c r="H7" s="3">
        <v>50</v>
      </c>
      <c r="I7" s="12" t="s">
        <v>202</v>
      </c>
      <c r="J7" s="2" t="s">
        <v>101</v>
      </c>
      <c r="K7" s="2" t="s">
        <v>11</v>
      </c>
    </row>
    <row r="8" spans="1:11" x14ac:dyDescent="0.3">
      <c r="A8" t="s">
        <v>498</v>
      </c>
      <c r="B8" t="s">
        <v>2</v>
      </c>
      <c r="C8" t="s">
        <v>91</v>
      </c>
      <c r="D8" t="e">
        <f>#REF!</f>
        <v>#REF!</v>
      </c>
      <c r="E8" s="10" t="e" cm="1">
        <f t="array" ref="E8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8" s="6">
        <f>RIS_B[[#This Row],[time value]]*RIS_B[[#This Row],[multiplicator]]</f>
        <v>-45</v>
      </c>
      <c r="G8" s="11">
        <v>-1</v>
      </c>
      <c r="H8" s="3">
        <v>45</v>
      </c>
      <c r="I8" s="12" t="s">
        <v>202</v>
      </c>
      <c r="J8" s="2" t="s">
        <v>104</v>
      </c>
      <c r="K8" s="2"/>
    </row>
    <row r="9" spans="1:11" x14ac:dyDescent="0.3">
      <c r="A9" t="s">
        <v>498</v>
      </c>
      <c r="B9" t="s">
        <v>2</v>
      </c>
      <c r="C9" t="s">
        <v>91</v>
      </c>
      <c r="D9" t="e">
        <f>#REF!</f>
        <v>#REF!</v>
      </c>
      <c r="E9" s="10" t="e" cm="1">
        <f t="array" ref="E9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9" s="6">
        <f>RIS_B[[#This Row],[time value]]*RIS_B[[#This Row],[multiplicator]]</f>
        <v>-14</v>
      </c>
      <c r="G9" s="11">
        <v>-1</v>
      </c>
      <c r="H9" s="3">
        <v>14</v>
      </c>
      <c r="I9" s="12" t="s">
        <v>202</v>
      </c>
      <c r="J9" s="2" t="s">
        <v>123</v>
      </c>
      <c r="K9" s="2" t="s">
        <v>124</v>
      </c>
    </row>
    <row r="10" spans="1:11" x14ac:dyDescent="0.3">
      <c r="A10" t="s">
        <v>498</v>
      </c>
      <c r="B10" t="s">
        <v>2</v>
      </c>
      <c r="C10" t="s">
        <v>91</v>
      </c>
      <c r="D10" t="e">
        <f>#REF!</f>
        <v>#REF!</v>
      </c>
      <c r="E10" s="10" t="e" cm="1">
        <f t="array" ref="E10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10" s="6">
        <f>RIS_B[[#This Row],[time value]]*RIS_B[[#This Row],[multiplicator]]</f>
        <v>0</v>
      </c>
      <c r="G10" s="3">
        <v>1</v>
      </c>
      <c r="H10" s="3">
        <v>0</v>
      </c>
      <c r="I10" s="12" t="s">
        <v>202</v>
      </c>
      <c r="J10" s="2" t="s">
        <v>125</v>
      </c>
      <c r="K10" s="2"/>
    </row>
    <row r="11" spans="1:11" x14ac:dyDescent="0.3">
      <c r="A11" t="s">
        <v>498</v>
      </c>
      <c r="B11" t="s">
        <v>2</v>
      </c>
      <c r="C11" t="s">
        <v>91</v>
      </c>
      <c r="D11" t="e">
        <f>#REF!</f>
        <v>#REF!</v>
      </c>
      <c r="E11" s="10" t="e" cm="1">
        <f t="array" ref="E11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11" s="6">
        <f>RIS_B[[#This Row],[time value]]*RIS_B[[#This Row],[multiplicator]]</f>
        <v>0</v>
      </c>
      <c r="G11" s="3">
        <v>1</v>
      </c>
      <c r="H11" s="3">
        <v>0</v>
      </c>
      <c r="I11" s="12" t="s">
        <v>202</v>
      </c>
      <c r="J11" s="2" t="s">
        <v>128</v>
      </c>
      <c r="K11" s="2" t="s">
        <v>124</v>
      </c>
    </row>
    <row r="12" spans="1:11" x14ac:dyDescent="0.3">
      <c r="A12" t="s">
        <v>498</v>
      </c>
      <c r="B12" t="s">
        <v>2</v>
      </c>
      <c r="C12" t="s">
        <v>91</v>
      </c>
      <c r="D12" t="e">
        <f>#REF!</f>
        <v>#REF!</v>
      </c>
      <c r="E12" s="10" t="e" cm="1">
        <f t="array" ref="E12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12" s="6">
        <f>RIS_B[[#This Row],[time value]]*RIS_B[[#This Row],[multiplicator]]</f>
        <v>45</v>
      </c>
      <c r="G12" s="3">
        <v>1</v>
      </c>
      <c r="H12" s="3">
        <v>45</v>
      </c>
      <c r="I12" s="12" t="s">
        <v>202</v>
      </c>
      <c r="J12" s="2" t="s">
        <v>139</v>
      </c>
      <c r="K12" s="2"/>
    </row>
    <row r="13" spans="1:11" x14ac:dyDescent="0.3">
      <c r="A13" t="s">
        <v>498</v>
      </c>
      <c r="B13" t="s">
        <v>2</v>
      </c>
      <c r="C13" t="s">
        <v>91</v>
      </c>
      <c r="D13" t="e">
        <f>#REF!</f>
        <v>#REF!</v>
      </c>
      <c r="E13" s="10" t="e" cm="1">
        <f t="array" ref="E13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13" s="6">
        <f>RIS_B[[#This Row],[time value]]*RIS_B[[#This Row],[multiplicator]]</f>
        <v>60</v>
      </c>
      <c r="G13" s="3">
        <v>1</v>
      </c>
      <c r="H13" s="3">
        <v>60</v>
      </c>
      <c r="I13" s="12" t="s">
        <v>202</v>
      </c>
      <c r="J13" s="2" t="s">
        <v>140</v>
      </c>
      <c r="K13" s="2" t="s">
        <v>124</v>
      </c>
    </row>
    <row r="14" spans="1:11" x14ac:dyDescent="0.3">
      <c r="A14" t="s">
        <v>498</v>
      </c>
      <c r="B14" t="s">
        <v>2</v>
      </c>
      <c r="C14" t="s">
        <v>91</v>
      </c>
      <c r="D14" t="e">
        <f>#REF!</f>
        <v>#REF!</v>
      </c>
      <c r="E14" s="10" t="e" cm="1">
        <f t="array" ref="E14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14" s="6">
        <f>RIS_B[[#This Row],[time value]]*RIS_B[[#This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1" x14ac:dyDescent="0.3">
      <c r="A15" t="s">
        <v>498</v>
      </c>
      <c r="B15" t="s">
        <v>2</v>
      </c>
      <c r="C15" t="s">
        <v>91</v>
      </c>
      <c r="D15" t="e">
        <f>#REF!</f>
        <v>#REF!</v>
      </c>
      <c r="E15" s="10" t="e" cm="1">
        <f t="array" ref="E15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15" s="6">
        <f>RIS_B[[#This Row],[time value]]*RIS_B[[#This Row],[multiplicator]]</f>
        <v>15</v>
      </c>
      <c r="G15" s="3">
        <v>1</v>
      </c>
      <c r="H15" s="3">
        <v>15</v>
      </c>
      <c r="I15" s="14" t="s">
        <v>494</v>
      </c>
      <c r="J15" s="2" t="s">
        <v>517</v>
      </c>
      <c r="K15" s="2" t="s">
        <v>11</v>
      </c>
    </row>
    <row r="16" spans="1:11" x14ac:dyDescent="0.3">
      <c r="A16" t="s">
        <v>498</v>
      </c>
      <c r="B16" t="s">
        <v>2</v>
      </c>
      <c r="C16" t="s">
        <v>91</v>
      </c>
      <c r="D16" t="e">
        <f>#REF!</f>
        <v>#REF!</v>
      </c>
      <c r="E16" s="10" t="e" cm="1">
        <f t="array" ref="E16">_xlfn.IFS(RIS_B[[#This Row],[reference wisle]]="KO",#REF!+(RIS_B[[#This Row],[Time to KO]]/1440),RIS_B[[#This Row],[reference wisle]]="FW",#REF!+(RIS_B[[#This Row],[Time to KO]]/1440),RIS_B[[#This Row],[reference wisle]]="EOD","End of Day")</f>
        <v>#REF!</v>
      </c>
      <c r="F16" s="6">
        <f>RIS_B[[#This Row],[time value]]*RIS_B[[#This Row],[multiplicator]]</f>
        <v>60</v>
      </c>
      <c r="G16" s="3">
        <v>1</v>
      </c>
      <c r="H16" s="3">
        <v>60</v>
      </c>
      <c r="I16" s="14" t="s">
        <v>494</v>
      </c>
      <c r="J16" s="2" t="s">
        <v>518</v>
      </c>
      <c r="K16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D954-62D2-ED4C-AC4E-14D14AFFCA55}">
  <sheetPr>
    <tabColor theme="7" tint="0.79998168889431442"/>
  </sheetPr>
  <dimension ref="A1:K16"/>
  <sheetViews>
    <sheetView workbookViewId="0">
      <selection activeCell="J16" sqref="J16"/>
    </sheetView>
  </sheetViews>
  <sheetFormatPr defaultColWidth="11" defaultRowHeight="15.6" x14ac:dyDescent="0.3"/>
  <cols>
    <col min="1" max="1" width="13" bestFit="1" customWidth="1"/>
    <col min="2" max="5" width="13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498</v>
      </c>
      <c r="B2" t="s">
        <v>2</v>
      </c>
      <c r="C2" t="s">
        <v>144</v>
      </c>
      <c r="D2" t="e">
        <f>#REF!</f>
        <v>#REF!</v>
      </c>
      <c r="E2" s="10" t="e" cm="1">
        <f t="array" ref="E2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2" s="6">
        <f>RIS_C[[#This Row],[time value]]*RIS_C[[#This Row],[multiplicator]]</f>
        <v>-75</v>
      </c>
      <c r="G2" s="11">
        <v>-1</v>
      </c>
      <c r="H2" s="11">
        <v>75</v>
      </c>
      <c r="I2" s="12" t="s">
        <v>202</v>
      </c>
      <c r="J2" s="2" t="s">
        <v>87</v>
      </c>
      <c r="K2" s="2" t="s">
        <v>88</v>
      </c>
    </row>
    <row r="3" spans="1:11" x14ac:dyDescent="0.3">
      <c r="A3" t="s">
        <v>498</v>
      </c>
      <c r="B3" t="s">
        <v>2</v>
      </c>
      <c r="C3" t="s">
        <v>144</v>
      </c>
      <c r="D3" t="e">
        <f>#REF!</f>
        <v>#REF!</v>
      </c>
      <c r="E3" s="10" t="e" cm="1">
        <f t="array" ref="E3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3" s="6">
        <f>RIS_C[[#This Row],[time value]]*RIS_C[[#This Row],[multiplicator]]</f>
        <v>-70</v>
      </c>
      <c r="G3" s="11">
        <v>-1</v>
      </c>
      <c r="H3" s="3">
        <v>70</v>
      </c>
      <c r="I3" s="12" t="s">
        <v>202</v>
      </c>
      <c r="J3" s="2" t="s">
        <v>89</v>
      </c>
      <c r="K3" s="2" t="s">
        <v>11</v>
      </c>
    </row>
    <row r="4" spans="1:11" x14ac:dyDescent="0.3">
      <c r="A4" t="s">
        <v>498</v>
      </c>
      <c r="B4" t="s">
        <v>2</v>
      </c>
      <c r="C4" t="s">
        <v>144</v>
      </c>
      <c r="D4" t="e">
        <f>#REF!</f>
        <v>#REF!</v>
      </c>
      <c r="E4" s="10" t="e" cm="1">
        <f t="array" ref="E4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4" s="6">
        <f>RIS_C[[#This Row],[time value]]*RIS_C[[#This Row],[multiplicator]]</f>
        <v>-65</v>
      </c>
      <c r="G4" s="11">
        <v>-1</v>
      </c>
      <c r="H4" s="3">
        <v>65</v>
      </c>
      <c r="I4" s="12" t="s">
        <v>202</v>
      </c>
      <c r="J4" s="2" t="s">
        <v>90</v>
      </c>
      <c r="K4" s="2" t="s">
        <v>11</v>
      </c>
    </row>
    <row r="5" spans="1:11" x14ac:dyDescent="0.3">
      <c r="A5" t="s">
        <v>498</v>
      </c>
      <c r="B5" t="s">
        <v>2</v>
      </c>
      <c r="C5" t="s">
        <v>144</v>
      </c>
      <c r="D5" t="e">
        <f>#REF!</f>
        <v>#REF!</v>
      </c>
      <c r="E5" s="10" t="e" cm="1">
        <f t="array" ref="E5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5" s="6">
        <f>RIS_C[[#This Row],[time value]]*RIS_C[[#This Row],[multiplicator]]</f>
        <v>-60</v>
      </c>
      <c r="G5" s="11">
        <v>-1</v>
      </c>
      <c r="H5" s="3">
        <v>60</v>
      </c>
      <c r="I5" s="12" t="s">
        <v>202</v>
      </c>
      <c r="J5" s="2" t="s">
        <v>94</v>
      </c>
      <c r="K5" s="2" t="s">
        <v>11</v>
      </c>
    </row>
    <row r="6" spans="1:11" x14ac:dyDescent="0.3">
      <c r="A6" t="s">
        <v>498</v>
      </c>
      <c r="B6" t="s">
        <v>2</v>
      </c>
      <c r="C6" t="s">
        <v>144</v>
      </c>
      <c r="D6" t="e">
        <f>#REF!</f>
        <v>#REF!</v>
      </c>
      <c r="E6" s="10" t="e" cm="1">
        <f t="array" ref="E6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6" s="6">
        <f>RIS_C[[#This Row],[time value]]*RIS_C[[#This Row],[multiplicator]]</f>
        <v>-55</v>
      </c>
      <c r="G6" s="11">
        <v>-1</v>
      </c>
      <c r="H6" s="3">
        <v>55</v>
      </c>
      <c r="I6" s="12" t="s">
        <v>202</v>
      </c>
      <c r="J6" s="2" t="s">
        <v>96</v>
      </c>
      <c r="K6" s="2" t="s">
        <v>97</v>
      </c>
    </row>
    <row r="7" spans="1:11" x14ac:dyDescent="0.3">
      <c r="A7" t="s">
        <v>498</v>
      </c>
      <c r="B7" t="s">
        <v>2</v>
      </c>
      <c r="C7" t="s">
        <v>144</v>
      </c>
      <c r="D7" t="e">
        <f>#REF!</f>
        <v>#REF!</v>
      </c>
      <c r="E7" s="10" t="e" cm="1">
        <f t="array" ref="E7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7" s="6">
        <f>RIS_C[[#This Row],[time value]]*RIS_C[[#This Row],[multiplicator]]</f>
        <v>-50</v>
      </c>
      <c r="G7" s="11">
        <v>-1</v>
      </c>
      <c r="H7" s="3">
        <v>50</v>
      </c>
      <c r="I7" s="12" t="s">
        <v>202</v>
      </c>
      <c r="J7" s="2" t="s">
        <v>101</v>
      </c>
      <c r="K7" s="2" t="s">
        <v>11</v>
      </c>
    </row>
    <row r="8" spans="1:11" x14ac:dyDescent="0.3">
      <c r="A8" t="s">
        <v>498</v>
      </c>
      <c r="B8" t="s">
        <v>2</v>
      </c>
      <c r="C8" t="s">
        <v>144</v>
      </c>
      <c r="D8" t="e">
        <f>#REF!</f>
        <v>#REF!</v>
      </c>
      <c r="E8" s="10" t="e" cm="1">
        <f t="array" ref="E8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8" s="6">
        <f>RIS_C[[#This Row],[time value]]*RIS_C[[#This Row],[multiplicator]]</f>
        <v>-45</v>
      </c>
      <c r="G8" s="11">
        <v>-1</v>
      </c>
      <c r="H8" s="3">
        <v>45</v>
      </c>
      <c r="I8" s="12" t="s">
        <v>202</v>
      </c>
      <c r="J8" s="2" t="s">
        <v>104</v>
      </c>
      <c r="K8" s="2"/>
    </row>
    <row r="9" spans="1:11" x14ac:dyDescent="0.3">
      <c r="A9" t="s">
        <v>498</v>
      </c>
      <c r="B9" t="s">
        <v>2</v>
      </c>
      <c r="C9" t="s">
        <v>144</v>
      </c>
      <c r="D9" t="e">
        <f>#REF!</f>
        <v>#REF!</v>
      </c>
      <c r="E9" s="10" t="e" cm="1">
        <f t="array" ref="E9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9" s="6">
        <f>RIS_C[[#This Row],[time value]]*RIS_C[[#This Row],[multiplicator]]</f>
        <v>-14</v>
      </c>
      <c r="G9" s="11">
        <v>-1</v>
      </c>
      <c r="H9" s="3">
        <v>14</v>
      </c>
      <c r="I9" s="12" t="s">
        <v>202</v>
      </c>
      <c r="J9" s="2" t="s">
        <v>123</v>
      </c>
      <c r="K9" s="2" t="s">
        <v>124</v>
      </c>
    </row>
    <row r="10" spans="1:11" x14ac:dyDescent="0.3">
      <c r="A10" t="s">
        <v>498</v>
      </c>
      <c r="B10" t="s">
        <v>2</v>
      </c>
      <c r="C10" t="s">
        <v>144</v>
      </c>
      <c r="D10" t="e">
        <f>#REF!</f>
        <v>#REF!</v>
      </c>
      <c r="E10" s="10" t="e" cm="1">
        <f t="array" ref="E10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10" s="6">
        <f>RIS_C[[#This Row],[time value]]*RIS_C[[#This Row],[multiplicator]]</f>
        <v>0</v>
      </c>
      <c r="G10" s="3">
        <v>1</v>
      </c>
      <c r="H10" s="3">
        <v>0</v>
      </c>
      <c r="I10" s="12" t="s">
        <v>202</v>
      </c>
      <c r="J10" s="2" t="s">
        <v>125</v>
      </c>
      <c r="K10" s="2"/>
    </row>
    <row r="11" spans="1:11" x14ac:dyDescent="0.3">
      <c r="A11" t="s">
        <v>498</v>
      </c>
      <c r="B11" t="s">
        <v>2</v>
      </c>
      <c r="C11" t="s">
        <v>144</v>
      </c>
      <c r="D11" t="e">
        <f>#REF!</f>
        <v>#REF!</v>
      </c>
      <c r="E11" s="10" t="e" cm="1">
        <f t="array" ref="E11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11" s="6">
        <f>RIS_C[[#This Row],[time value]]*RIS_C[[#This Row],[multiplicator]]</f>
        <v>0</v>
      </c>
      <c r="G11" s="3">
        <v>1</v>
      </c>
      <c r="H11" s="3">
        <v>0</v>
      </c>
      <c r="I11" s="12" t="s">
        <v>202</v>
      </c>
      <c r="J11" s="2" t="s">
        <v>128</v>
      </c>
      <c r="K11" s="2" t="s">
        <v>124</v>
      </c>
    </row>
    <row r="12" spans="1:11" x14ac:dyDescent="0.3">
      <c r="A12" t="s">
        <v>498</v>
      </c>
      <c r="B12" t="s">
        <v>2</v>
      </c>
      <c r="C12" t="s">
        <v>144</v>
      </c>
      <c r="D12" t="e">
        <f>#REF!</f>
        <v>#REF!</v>
      </c>
      <c r="E12" s="10" t="e" cm="1">
        <f t="array" ref="E12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12" s="6">
        <f>RIS_C[[#This Row],[time value]]*RIS_C[[#This Row],[multiplicator]]</f>
        <v>45</v>
      </c>
      <c r="G12" s="3">
        <v>1</v>
      </c>
      <c r="H12" s="3">
        <v>45</v>
      </c>
      <c r="I12" s="12" t="s">
        <v>202</v>
      </c>
      <c r="J12" s="2" t="s">
        <v>139</v>
      </c>
      <c r="K12" s="2"/>
    </row>
    <row r="13" spans="1:11" x14ac:dyDescent="0.3">
      <c r="A13" t="s">
        <v>498</v>
      </c>
      <c r="B13" t="s">
        <v>2</v>
      </c>
      <c r="C13" t="s">
        <v>144</v>
      </c>
      <c r="D13" t="e">
        <f>#REF!</f>
        <v>#REF!</v>
      </c>
      <c r="E13" s="10" t="e" cm="1">
        <f t="array" ref="E13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13" s="6">
        <f>RIS_C[[#This Row],[time value]]*RIS_C[[#This Row],[multiplicator]]</f>
        <v>60</v>
      </c>
      <c r="G13" s="3">
        <v>1</v>
      </c>
      <c r="H13" s="3">
        <v>60</v>
      </c>
      <c r="I13" s="12" t="s">
        <v>202</v>
      </c>
      <c r="J13" s="2" t="s">
        <v>140</v>
      </c>
      <c r="K13" s="2" t="s">
        <v>124</v>
      </c>
    </row>
    <row r="14" spans="1:11" x14ac:dyDescent="0.3">
      <c r="A14" t="s">
        <v>498</v>
      </c>
      <c r="B14" t="s">
        <v>2</v>
      </c>
      <c r="C14" t="s">
        <v>144</v>
      </c>
      <c r="D14" t="e">
        <f>#REF!</f>
        <v>#REF!</v>
      </c>
      <c r="E14" s="10" t="e" cm="1">
        <f t="array" ref="E14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14" s="6">
        <f>RIS_C[[#This Row],[time value]]*RIS_C[[#This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1" x14ac:dyDescent="0.3">
      <c r="A15" t="s">
        <v>498</v>
      </c>
      <c r="B15" t="s">
        <v>2</v>
      </c>
      <c r="C15" t="s">
        <v>144</v>
      </c>
      <c r="D15" t="e">
        <f>#REF!</f>
        <v>#REF!</v>
      </c>
      <c r="E15" s="10" t="e" cm="1">
        <f t="array" ref="E15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15" s="6">
        <f>RIS_C[[#This Row],[time value]]*RIS_C[[#This Row],[multiplicator]]</f>
        <v>15</v>
      </c>
      <c r="G15" s="3">
        <v>1</v>
      </c>
      <c r="H15" s="3">
        <v>15</v>
      </c>
      <c r="I15" s="14" t="s">
        <v>494</v>
      </c>
      <c r="J15" s="2" t="s">
        <v>517</v>
      </c>
      <c r="K15" s="2" t="s">
        <v>11</v>
      </c>
    </row>
    <row r="16" spans="1:11" x14ac:dyDescent="0.3">
      <c r="A16" t="s">
        <v>498</v>
      </c>
      <c r="B16" t="s">
        <v>2</v>
      </c>
      <c r="C16" t="s">
        <v>144</v>
      </c>
      <c r="D16" t="e">
        <f>#REF!</f>
        <v>#REF!</v>
      </c>
      <c r="E16" s="10" t="e" cm="1">
        <f t="array" ref="E16">_xlfn.IFS(RIS_C[[#This Row],[reference wisle]]="KO",#REF!+(RIS_C[[#This Row],[Time to KO]]/1440),RIS_C[[#This Row],[reference wisle]]="FW",#REF!+(RIS_C[[#This Row],[Time to KO]]/1440),RIS_C[[#This Row],[reference wisle]]="EOD","End of Day")</f>
        <v>#REF!</v>
      </c>
      <c r="F16" s="6">
        <f>RIS_C[[#This Row],[time value]]*RIS_C[[#This Row],[multiplicator]]</f>
        <v>60</v>
      </c>
      <c r="G16" s="3">
        <v>1</v>
      </c>
      <c r="H16" s="3">
        <v>60</v>
      </c>
      <c r="I16" s="14" t="s">
        <v>494</v>
      </c>
      <c r="J16" s="2" t="s">
        <v>518</v>
      </c>
      <c r="K16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A67B-FC92-9A4D-95CF-9016F60439B3}">
  <sheetPr>
    <tabColor theme="7" tint="0.79998168889431442"/>
  </sheetPr>
  <dimension ref="A1:K16"/>
  <sheetViews>
    <sheetView workbookViewId="0">
      <selection activeCell="J16" sqref="J16"/>
    </sheetView>
  </sheetViews>
  <sheetFormatPr defaultColWidth="11" defaultRowHeight="15.6" x14ac:dyDescent="0.3"/>
  <cols>
    <col min="1" max="1" width="13" bestFit="1" customWidth="1"/>
    <col min="2" max="5" width="13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498</v>
      </c>
      <c r="B2" t="s">
        <v>2</v>
      </c>
      <c r="C2" t="s">
        <v>170</v>
      </c>
      <c r="D2" t="e">
        <f>#REF!</f>
        <v>#REF!</v>
      </c>
      <c r="E2" s="10" t="e" cm="1">
        <f t="array" ref="E2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2" s="6">
        <f>RIS_D[[#This Row],[time value]]*RIS_D[[#This Row],[multiplicator]]</f>
        <v>-75</v>
      </c>
      <c r="G2" s="11">
        <v>-1</v>
      </c>
      <c r="H2" s="11">
        <v>75</v>
      </c>
      <c r="I2" s="12" t="s">
        <v>202</v>
      </c>
      <c r="J2" s="2" t="s">
        <v>87</v>
      </c>
      <c r="K2" s="2" t="s">
        <v>88</v>
      </c>
    </row>
    <row r="3" spans="1:11" x14ac:dyDescent="0.3">
      <c r="A3" t="s">
        <v>498</v>
      </c>
      <c r="B3" t="s">
        <v>2</v>
      </c>
      <c r="C3" t="s">
        <v>170</v>
      </c>
      <c r="D3" t="e">
        <f>#REF!</f>
        <v>#REF!</v>
      </c>
      <c r="E3" s="10" t="e" cm="1">
        <f t="array" ref="E3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3" s="6">
        <f>RIS_D[[#This Row],[time value]]*RIS_D[[#This Row],[multiplicator]]</f>
        <v>-70</v>
      </c>
      <c r="G3" s="11">
        <v>-1</v>
      </c>
      <c r="H3" s="3">
        <v>70</v>
      </c>
      <c r="I3" s="12" t="s">
        <v>202</v>
      </c>
      <c r="J3" s="2" t="s">
        <v>89</v>
      </c>
      <c r="K3" s="2" t="s">
        <v>11</v>
      </c>
    </row>
    <row r="4" spans="1:11" x14ac:dyDescent="0.3">
      <c r="A4" t="s">
        <v>498</v>
      </c>
      <c r="B4" t="s">
        <v>2</v>
      </c>
      <c r="C4" t="s">
        <v>170</v>
      </c>
      <c r="D4" t="e">
        <f>#REF!</f>
        <v>#REF!</v>
      </c>
      <c r="E4" s="10" t="e" cm="1">
        <f t="array" ref="E4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4" s="6">
        <f>RIS_D[[#This Row],[time value]]*RIS_D[[#This Row],[multiplicator]]</f>
        <v>-65</v>
      </c>
      <c r="G4" s="11">
        <v>-1</v>
      </c>
      <c r="H4" s="3">
        <v>65</v>
      </c>
      <c r="I4" s="12" t="s">
        <v>202</v>
      </c>
      <c r="J4" s="2" t="s">
        <v>90</v>
      </c>
      <c r="K4" s="2" t="s">
        <v>11</v>
      </c>
    </row>
    <row r="5" spans="1:11" x14ac:dyDescent="0.3">
      <c r="A5" t="s">
        <v>498</v>
      </c>
      <c r="B5" t="s">
        <v>2</v>
      </c>
      <c r="C5" t="s">
        <v>170</v>
      </c>
      <c r="D5" t="e">
        <f>#REF!</f>
        <v>#REF!</v>
      </c>
      <c r="E5" s="10" t="e" cm="1">
        <f t="array" ref="E5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5" s="6">
        <f>RIS_D[[#This Row],[time value]]*RIS_D[[#This Row],[multiplicator]]</f>
        <v>-60</v>
      </c>
      <c r="G5" s="11">
        <v>-1</v>
      </c>
      <c r="H5" s="3">
        <v>60</v>
      </c>
      <c r="I5" s="12" t="s">
        <v>202</v>
      </c>
      <c r="J5" s="2" t="s">
        <v>94</v>
      </c>
      <c r="K5" s="2" t="s">
        <v>11</v>
      </c>
    </row>
    <row r="6" spans="1:11" x14ac:dyDescent="0.3">
      <c r="A6" t="s">
        <v>498</v>
      </c>
      <c r="B6" t="s">
        <v>2</v>
      </c>
      <c r="C6" t="s">
        <v>170</v>
      </c>
      <c r="D6" t="e">
        <f>#REF!</f>
        <v>#REF!</v>
      </c>
      <c r="E6" s="10" t="e" cm="1">
        <f t="array" ref="E6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6" s="6">
        <f>RIS_D[[#This Row],[time value]]*RIS_D[[#This Row],[multiplicator]]</f>
        <v>-55</v>
      </c>
      <c r="G6" s="11">
        <v>-1</v>
      </c>
      <c r="H6" s="3">
        <v>55</v>
      </c>
      <c r="I6" s="12" t="s">
        <v>202</v>
      </c>
      <c r="J6" s="2" t="s">
        <v>96</v>
      </c>
      <c r="K6" s="2" t="s">
        <v>97</v>
      </c>
    </row>
    <row r="7" spans="1:11" x14ac:dyDescent="0.3">
      <c r="A7" t="s">
        <v>498</v>
      </c>
      <c r="B7" t="s">
        <v>2</v>
      </c>
      <c r="C7" t="s">
        <v>170</v>
      </c>
      <c r="D7" t="e">
        <f>#REF!</f>
        <v>#REF!</v>
      </c>
      <c r="E7" s="10" t="e" cm="1">
        <f t="array" ref="E7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7" s="6">
        <f>RIS_D[[#This Row],[time value]]*RIS_D[[#This Row],[multiplicator]]</f>
        <v>-50</v>
      </c>
      <c r="G7" s="11">
        <v>-1</v>
      </c>
      <c r="H7" s="3">
        <v>50</v>
      </c>
      <c r="I7" s="12" t="s">
        <v>202</v>
      </c>
      <c r="J7" s="2" t="s">
        <v>101</v>
      </c>
      <c r="K7" s="2" t="s">
        <v>11</v>
      </c>
    </row>
    <row r="8" spans="1:11" x14ac:dyDescent="0.3">
      <c r="A8" t="s">
        <v>498</v>
      </c>
      <c r="B8" t="s">
        <v>2</v>
      </c>
      <c r="C8" t="s">
        <v>170</v>
      </c>
      <c r="D8" t="e">
        <f>#REF!</f>
        <v>#REF!</v>
      </c>
      <c r="E8" s="10" t="e" cm="1">
        <f t="array" ref="E8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8" s="6">
        <f>RIS_D[[#This Row],[time value]]*RIS_D[[#This Row],[multiplicator]]</f>
        <v>-45</v>
      </c>
      <c r="G8" s="11">
        <v>-1</v>
      </c>
      <c r="H8" s="3">
        <v>45</v>
      </c>
      <c r="I8" s="12" t="s">
        <v>202</v>
      </c>
      <c r="J8" s="2" t="s">
        <v>104</v>
      </c>
      <c r="K8" s="2"/>
    </row>
    <row r="9" spans="1:11" x14ac:dyDescent="0.3">
      <c r="A9" t="s">
        <v>498</v>
      </c>
      <c r="B9" t="s">
        <v>2</v>
      </c>
      <c r="C9" t="s">
        <v>170</v>
      </c>
      <c r="D9" t="e">
        <f>#REF!</f>
        <v>#REF!</v>
      </c>
      <c r="E9" s="10" t="e" cm="1">
        <f t="array" ref="E9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9" s="6">
        <f>RIS_D[[#This Row],[time value]]*RIS_D[[#This Row],[multiplicator]]</f>
        <v>-14</v>
      </c>
      <c r="G9" s="11">
        <v>-1</v>
      </c>
      <c r="H9" s="3">
        <v>14</v>
      </c>
      <c r="I9" s="12" t="s">
        <v>202</v>
      </c>
      <c r="J9" s="2" t="s">
        <v>123</v>
      </c>
      <c r="K9" s="2" t="s">
        <v>124</v>
      </c>
    </row>
    <row r="10" spans="1:11" x14ac:dyDescent="0.3">
      <c r="A10" t="s">
        <v>498</v>
      </c>
      <c r="B10" t="s">
        <v>2</v>
      </c>
      <c r="C10" t="s">
        <v>170</v>
      </c>
      <c r="D10" t="e">
        <f>#REF!</f>
        <v>#REF!</v>
      </c>
      <c r="E10" s="10" t="e" cm="1">
        <f t="array" ref="E10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10" s="6">
        <f>RIS_D[[#This Row],[time value]]*RIS_D[[#This Row],[multiplicator]]</f>
        <v>0</v>
      </c>
      <c r="G10" s="3">
        <v>1</v>
      </c>
      <c r="H10" s="3">
        <v>0</v>
      </c>
      <c r="I10" s="12" t="s">
        <v>202</v>
      </c>
      <c r="J10" s="2" t="s">
        <v>125</v>
      </c>
      <c r="K10" s="2"/>
    </row>
    <row r="11" spans="1:11" x14ac:dyDescent="0.3">
      <c r="A11" t="s">
        <v>498</v>
      </c>
      <c r="B11" t="s">
        <v>2</v>
      </c>
      <c r="C11" t="s">
        <v>170</v>
      </c>
      <c r="D11" t="e">
        <f>#REF!</f>
        <v>#REF!</v>
      </c>
      <c r="E11" s="10" t="e" cm="1">
        <f t="array" ref="E11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11" s="6">
        <f>RIS_D[[#This Row],[time value]]*RIS_D[[#This Row],[multiplicator]]</f>
        <v>0</v>
      </c>
      <c r="G11" s="3">
        <v>1</v>
      </c>
      <c r="H11" s="3">
        <v>0</v>
      </c>
      <c r="I11" s="12" t="s">
        <v>202</v>
      </c>
      <c r="J11" s="2" t="s">
        <v>128</v>
      </c>
      <c r="K11" s="2" t="s">
        <v>124</v>
      </c>
    </row>
    <row r="12" spans="1:11" x14ac:dyDescent="0.3">
      <c r="A12" t="s">
        <v>498</v>
      </c>
      <c r="B12" t="s">
        <v>2</v>
      </c>
      <c r="C12" t="s">
        <v>170</v>
      </c>
      <c r="D12" t="e">
        <f>#REF!</f>
        <v>#REF!</v>
      </c>
      <c r="E12" s="10" t="e" cm="1">
        <f t="array" ref="E12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12" s="6">
        <f>RIS_D[[#This Row],[time value]]*RIS_D[[#This Row],[multiplicator]]</f>
        <v>45</v>
      </c>
      <c r="G12" s="3">
        <v>1</v>
      </c>
      <c r="H12" s="3">
        <v>45</v>
      </c>
      <c r="I12" s="12" t="s">
        <v>202</v>
      </c>
      <c r="J12" s="2" t="s">
        <v>139</v>
      </c>
      <c r="K12" s="2"/>
    </row>
    <row r="13" spans="1:11" x14ac:dyDescent="0.3">
      <c r="A13" t="s">
        <v>498</v>
      </c>
      <c r="B13" t="s">
        <v>2</v>
      </c>
      <c r="C13" t="s">
        <v>170</v>
      </c>
      <c r="D13" t="e">
        <f>#REF!</f>
        <v>#REF!</v>
      </c>
      <c r="E13" s="10" t="e" cm="1">
        <f t="array" ref="E13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13" s="6">
        <f>RIS_D[[#This Row],[time value]]*RIS_D[[#This Row],[multiplicator]]</f>
        <v>60</v>
      </c>
      <c r="G13" s="3">
        <v>1</v>
      </c>
      <c r="H13" s="3">
        <v>60</v>
      </c>
      <c r="I13" s="12" t="s">
        <v>202</v>
      </c>
      <c r="J13" s="2" t="s">
        <v>140</v>
      </c>
      <c r="K13" s="2" t="s">
        <v>124</v>
      </c>
    </row>
    <row r="14" spans="1:11" x14ac:dyDescent="0.3">
      <c r="A14" t="s">
        <v>498</v>
      </c>
      <c r="B14" t="s">
        <v>2</v>
      </c>
      <c r="C14" t="s">
        <v>170</v>
      </c>
      <c r="D14" t="e">
        <f>#REF!</f>
        <v>#REF!</v>
      </c>
      <c r="E14" s="10" t="e" cm="1">
        <f t="array" ref="E14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14" s="6">
        <f>RIS_D[[#This Row],[time value]]*RIS_D[[#This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1" x14ac:dyDescent="0.3">
      <c r="A15" t="s">
        <v>498</v>
      </c>
      <c r="B15" t="s">
        <v>2</v>
      </c>
      <c r="C15" t="s">
        <v>170</v>
      </c>
      <c r="D15" t="e">
        <f>#REF!</f>
        <v>#REF!</v>
      </c>
      <c r="E15" s="10" t="e" cm="1">
        <f t="array" ref="E15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15" s="6">
        <f>RIS_D[[#This Row],[time value]]*RIS_D[[#This Row],[multiplicator]]</f>
        <v>15</v>
      </c>
      <c r="G15" s="3">
        <v>1</v>
      </c>
      <c r="H15" s="3">
        <v>15</v>
      </c>
      <c r="I15" s="14" t="s">
        <v>494</v>
      </c>
      <c r="J15" s="2" t="s">
        <v>517</v>
      </c>
      <c r="K15" s="2" t="s">
        <v>11</v>
      </c>
    </row>
    <row r="16" spans="1:11" x14ac:dyDescent="0.3">
      <c r="A16" t="s">
        <v>498</v>
      </c>
      <c r="B16" t="s">
        <v>2</v>
      </c>
      <c r="C16" t="s">
        <v>170</v>
      </c>
      <c r="D16" t="e">
        <f>#REF!</f>
        <v>#REF!</v>
      </c>
      <c r="E16" s="10" t="e" cm="1">
        <f t="array" ref="E16">_xlfn.IFS(RIS_D[[#This Row],[reference wisle]]="KO",#REF!+(RIS_D[[#This Row],[Time to KO]]/1440),RIS_D[[#This Row],[reference wisle]]="FW",#REF!+(RIS_D[[#This Row],[Time to KO]]/1440),RIS_D[[#This Row],[reference wisle]]="EOD","End of Day")</f>
        <v>#REF!</v>
      </c>
      <c r="F16" s="6">
        <f>RIS_D[[#This Row],[time value]]*RIS_D[[#This Row],[multiplicator]]</f>
        <v>60</v>
      </c>
      <c r="G16" s="3">
        <v>1</v>
      </c>
      <c r="H16" s="3">
        <v>60</v>
      </c>
      <c r="I16" s="14" t="s">
        <v>494</v>
      </c>
      <c r="J16" s="2" t="s">
        <v>518</v>
      </c>
      <c r="K16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0EB5-8E4C-0E45-BF42-90C08731F370}">
  <sheetPr>
    <tabColor theme="6" tint="0.79998168889431442"/>
  </sheetPr>
  <dimension ref="A1:K10"/>
  <sheetViews>
    <sheetView workbookViewId="0">
      <selection activeCell="J10" sqref="J10"/>
    </sheetView>
  </sheetViews>
  <sheetFormatPr defaultColWidth="11" defaultRowHeight="15.6" x14ac:dyDescent="0.3"/>
  <cols>
    <col min="1" max="1" width="24.8984375" bestFit="1" customWidth="1"/>
    <col min="2" max="4" width="13.5" customWidth="1"/>
    <col min="5" max="5" width="13.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519</v>
      </c>
      <c r="B2" t="s">
        <v>2</v>
      </c>
      <c r="C2" t="s">
        <v>30</v>
      </c>
      <c r="D2" t="e">
        <f>#REF!</f>
        <v>#REF!</v>
      </c>
      <c r="E2" s="10" t="e" cm="1">
        <f t="array" ref="E2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2" s="6">
        <f>WSC_A[[#This Row],[time value]]*WSC_A[[#This Row],[multiplicator]]</f>
        <v>-160</v>
      </c>
      <c r="G2" s="11">
        <v>-1</v>
      </c>
      <c r="H2" s="11">
        <v>160</v>
      </c>
      <c r="I2" s="12" t="s">
        <v>202</v>
      </c>
      <c r="J2" s="2" t="s">
        <v>10</v>
      </c>
      <c r="K2" s="2" t="s">
        <v>11</v>
      </c>
    </row>
    <row r="3" spans="1:11" x14ac:dyDescent="0.3">
      <c r="A3" t="s">
        <v>519</v>
      </c>
      <c r="B3" t="s">
        <v>2</v>
      </c>
      <c r="C3" t="s">
        <v>30</v>
      </c>
      <c r="D3" t="e">
        <f>#REF!</f>
        <v>#REF!</v>
      </c>
      <c r="E3" s="10" t="e" cm="1">
        <f t="array" ref="E3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3" s="6">
        <f>WSC_A[[#This Row],[time value]]*WSC_A[[#This Row],[multiplicator]]</f>
        <v>-155</v>
      </c>
      <c r="G3" s="11">
        <v>-1</v>
      </c>
      <c r="H3" s="3">
        <v>155</v>
      </c>
      <c r="I3" s="12" t="s">
        <v>202</v>
      </c>
      <c r="J3" s="2" t="s">
        <v>51</v>
      </c>
      <c r="K3" s="2" t="s">
        <v>11</v>
      </c>
    </row>
    <row r="4" spans="1:11" x14ac:dyDescent="0.3">
      <c r="A4" t="s">
        <v>519</v>
      </c>
      <c r="B4" t="s">
        <v>2</v>
      </c>
      <c r="C4" t="s">
        <v>30</v>
      </c>
      <c r="D4" t="e">
        <f>#REF!</f>
        <v>#REF!</v>
      </c>
      <c r="E4" s="10" t="e" cm="1">
        <f t="array" ref="E4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4" s="6">
        <f>WSC_A[[#This Row],[time value]]*WSC_A[[#This Row],[multiplicator]]</f>
        <v>-150</v>
      </c>
      <c r="G4" s="11">
        <v>-1</v>
      </c>
      <c r="H4" s="3">
        <v>150</v>
      </c>
      <c r="I4" s="12" t="s">
        <v>202</v>
      </c>
      <c r="J4" s="2" t="s">
        <v>14</v>
      </c>
      <c r="K4" s="2" t="s">
        <v>11</v>
      </c>
    </row>
    <row r="5" spans="1:11" x14ac:dyDescent="0.3">
      <c r="A5" t="s">
        <v>519</v>
      </c>
      <c r="B5" t="s">
        <v>2</v>
      </c>
      <c r="C5" t="s">
        <v>30</v>
      </c>
      <c r="D5" t="e">
        <f>#REF!</f>
        <v>#REF!</v>
      </c>
      <c r="E5" s="10" t="e" cm="1">
        <f t="array" ref="E5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5" s="6">
        <f>WSC_A[[#This Row],[time value]]*WSC_A[[#This Row],[multiplicator]]</f>
        <v>0</v>
      </c>
      <c r="G5" s="11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519</v>
      </c>
      <c r="B6" t="s">
        <v>2</v>
      </c>
      <c r="C6" t="s">
        <v>30</v>
      </c>
      <c r="D6" t="e">
        <f>#REF!</f>
        <v>#REF!</v>
      </c>
      <c r="E6" s="10" t="e" cm="1">
        <f t="array" ref="E6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6" s="6">
        <f>WSC_A[[#This Row],[time value]]*WSC_A[[#This Row],[multiplicator]]</f>
        <v>0</v>
      </c>
      <c r="G6" s="11">
        <v>1</v>
      </c>
      <c r="H6" s="3">
        <v>0</v>
      </c>
      <c r="I6" s="12" t="s">
        <v>202</v>
      </c>
      <c r="J6" s="2" t="s">
        <v>126</v>
      </c>
      <c r="K6" s="2" t="s">
        <v>129</v>
      </c>
    </row>
    <row r="7" spans="1:11" x14ac:dyDescent="0.3">
      <c r="A7" t="s">
        <v>519</v>
      </c>
      <c r="B7" t="s">
        <v>2</v>
      </c>
      <c r="C7" t="s">
        <v>30</v>
      </c>
      <c r="D7" t="e">
        <f>#REF!</f>
        <v>#REF!</v>
      </c>
      <c r="E7" s="10" t="e" cm="1">
        <f t="array" ref="E7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7" s="6">
        <f>WSC_A[[#This Row],[time value]]*WSC_A[[#This Row],[multiplicator]]</f>
        <v>45</v>
      </c>
      <c r="G7" s="11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519</v>
      </c>
      <c r="B8" t="s">
        <v>2</v>
      </c>
      <c r="C8" t="s">
        <v>30</v>
      </c>
      <c r="D8" t="e">
        <f>#REF!</f>
        <v>#REF!</v>
      </c>
      <c r="E8" s="10" t="e" cm="1">
        <f t="array" ref="E8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8" s="6">
        <f>WSC_A[[#This Row],[time value]]*WSC_A[[#This Row],[multiplicator]]</f>
        <v>60</v>
      </c>
      <c r="G8" s="11">
        <v>1</v>
      </c>
      <c r="H8" s="3">
        <v>60</v>
      </c>
      <c r="I8" s="12" t="s">
        <v>202</v>
      </c>
      <c r="J8" s="2" t="s">
        <v>126</v>
      </c>
      <c r="K8" s="2" t="s">
        <v>129</v>
      </c>
    </row>
    <row r="9" spans="1:11" x14ac:dyDescent="0.3">
      <c r="A9" t="s">
        <v>519</v>
      </c>
      <c r="B9" t="s">
        <v>2</v>
      </c>
      <c r="C9" t="s">
        <v>30</v>
      </c>
      <c r="D9" t="e">
        <f>#REF!</f>
        <v>#REF!</v>
      </c>
      <c r="E9" s="10" t="e" cm="1">
        <f t="array" ref="E9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9" s="6">
        <f>WSC_A[[#This Row],[time value]]*WSC_A[[#This Row],[multiplicator]]</f>
        <v>0</v>
      </c>
      <c r="G9" s="11">
        <v>1</v>
      </c>
      <c r="H9" s="4"/>
      <c r="I9" s="14" t="s">
        <v>494</v>
      </c>
      <c r="J9" s="2" t="s">
        <v>143</v>
      </c>
      <c r="K9" s="2"/>
    </row>
    <row r="10" spans="1:11" x14ac:dyDescent="0.3">
      <c r="A10" t="s">
        <v>519</v>
      </c>
      <c r="B10" t="s">
        <v>2</v>
      </c>
      <c r="C10" t="s">
        <v>30</v>
      </c>
      <c r="D10" t="e">
        <f>#REF!</f>
        <v>#REF!</v>
      </c>
      <c r="E10" s="10" t="e" cm="1">
        <f t="array" ref="E10">_xlfn.IFS(WSC_A[[#This Row],[reference wisle]]="KO",#REF!+(WSC_A[[#This Row],[Time to KO]]/1440),WSC_A[[#This Row],[reference wisle]]="FW",#REF!+(WSC_A[[#This Row],[Time to KO]]/1440),WSC_A[[#This Row],[reference wisle]]="EOD","End of Day")</f>
        <v>#REF!</v>
      </c>
      <c r="F10" s="6">
        <f>WSC_A[[#This Row],[time value]]*WSC_A[[#This Row],[multiplicator]]</f>
        <v>65</v>
      </c>
      <c r="G10" s="11">
        <v>1</v>
      </c>
      <c r="H10" s="3">
        <v>65</v>
      </c>
      <c r="I10" s="14" t="s">
        <v>494</v>
      </c>
      <c r="J10" s="2" t="s">
        <v>169</v>
      </c>
      <c r="K10" s="2" t="s">
        <v>11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3D5A-6898-4047-8BD8-05A27D94B743}">
  <sheetPr>
    <tabColor theme="6" tint="0.79998168889431442"/>
  </sheetPr>
  <dimension ref="A1:K10"/>
  <sheetViews>
    <sheetView workbookViewId="0">
      <selection activeCell="L1" sqref="L1"/>
    </sheetView>
  </sheetViews>
  <sheetFormatPr defaultColWidth="11" defaultRowHeight="15.6" x14ac:dyDescent="0.3"/>
  <cols>
    <col min="1" max="1" width="24.8984375" bestFit="1" customWidth="1"/>
    <col min="2" max="5" width="13.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519</v>
      </c>
      <c r="B2" t="s">
        <v>2</v>
      </c>
      <c r="C2" t="s">
        <v>91</v>
      </c>
      <c r="D2" t="e">
        <f>#REF!</f>
        <v>#REF!</v>
      </c>
      <c r="E2" s="10" t="e" cm="1">
        <f t="array" ref="E2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2" s="6">
        <f>WSC_B[[#This Row],[time value]]*WSC_B[[#This Row],[multiplicator]]</f>
        <v>-160</v>
      </c>
      <c r="G2" s="11">
        <v>-1</v>
      </c>
      <c r="H2" s="11">
        <v>160</v>
      </c>
      <c r="I2" s="12" t="s">
        <v>202</v>
      </c>
      <c r="J2" s="2" t="s">
        <v>10</v>
      </c>
      <c r="K2" s="2" t="s">
        <v>11</v>
      </c>
    </row>
    <row r="3" spans="1:11" x14ac:dyDescent="0.3">
      <c r="A3" t="s">
        <v>519</v>
      </c>
      <c r="B3" t="s">
        <v>2</v>
      </c>
      <c r="C3" t="s">
        <v>91</v>
      </c>
      <c r="D3" t="e">
        <f>#REF!</f>
        <v>#REF!</v>
      </c>
      <c r="E3" s="10" t="e" cm="1">
        <f t="array" ref="E3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3" s="6">
        <f>WSC_B[[#This Row],[time value]]*WSC_B[[#This Row],[multiplicator]]</f>
        <v>-155</v>
      </c>
      <c r="G3" s="11">
        <v>-1</v>
      </c>
      <c r="H3" s="3">
        <v>155</v>
      </c>
      <c r="I3" s="12" t="s">
        <v>202</v>
      </c>
      <c r="J3" s="2" t="s">
        <v>51</v>
      </c>
      <c r="K3" s="2" t="s">
        <v>11</v>
      </c>
    </row>
    <row r="4" spans="1:11" x14ac:dyDescent="0.3">
      <c r="A4" t="s">
        <v>519</v>
      </c>
      <c r="B4" t="s">
        <v>2</v>
      </c>
      <c r="C4" t="s">
        <v>91</v>
      </c>
      <c r="D4" t="e">
        <f>#REF!</f>
        <v>#REF!</v>
      </c>
      <c r="E4" s="10" t="e" cm="1">
        <f t="array" ref="E4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4" s="6">
        <f>WSC_B[[#This Row],[time value]]*WSC_B[[#This Row],[multiplicator]]</f>
        <v>-150</v>
      </c>
      <c r="G4" s="11">
        <v>-1</v>
      </c>
      <c r="H4" s="3">
        <v>150</v>
      </c>
      <c r="I4" s="12" t="s">
        <v>202</v>
      </c>
      <c r="J4" s="2" t="s">
        <v>14</v>
      </c>
      <c r="K4" s="2" t="s">
        <v>11</v>
      </c>
    </row>
    <row r="5" spans="1:11" x14ac:dyDescent="0.3">
      <c r="A5" t="s">
        <v>519</v>
      </c>
      <c r="B5" t="s">
        <v>2</v>
      </c>
      <c r="C5" t="s">
        <v>91</v>
      </c>
      <c r="D5" t="e">
        <f>#REF!</f>
        <v>#REF!</v>
      </c>
      <c r="E5" s="10" t="e" cm="1">
        <f t="array" ref="E5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5" s="6">
        <f>WSC_B[[#This Row],[time value]]*WSC_B[[#This Row],[multiplicator]]</f>
        <v>0</v>
      </c>
      <c r="G5" s="11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519</v>
      </c>
      <c r="B6" t="s">
        <v>2</v>
      </c>
      <c r="C6" t="s">
        <v>91</v>
      </c>
      <c r="D6" t="e">
        <f>#REF!</f>
        <v>#REF!</v>
      </c>
      <c r="E6" s="10" t="e" cm="1">
        <f t="array" ref="E6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6" s="6">
        <f>WSC_B[[#This Row],[time value]]*WSC_B[[#This Row],[multiplicator]]</f>
        <v>0</v>
      </c>
      <c r="G6" s="11">
        <v>1</v>
      </c>
      <c r="H6" s="3">
        <v>0</v>
      </c>
      <c r="I6" s="12" t="s">
        <v>202</v>
      </c>
      <c r="J6" s="2" t="s">
        <v>126</v>
      </c>
      <c r="K6" s="2" t="s">
        <v>129</v>
      </c>
    </row>
    <row r="7" spans="1:11" x14ac:dyDescent="0.3">
      <c r="A7" t="s">
        <v>519</v>
      </c>
      <c r="B7" t="s">
        <v>2</v>
      </c>
      <c r="C7" t="s">
        <v>91</v>
      </c>
      <c r="D7" t="e">
        <f>#REF!</f>
        <v>#REF!</v>
      </c>
      <c r="E7" s="10" t="e" cm="1">
        <f t="array" ref="E7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7" s="6">
        <f>WSC_B[[#This Row],[time value]]*WSC_B[[#This Row],[multiplicator]]</f>
        <v>45</v>
      </c>
      <c r="G7" s="11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519</v>
      </c>
      <c r="B8" t="s">
        <v>2</v>
      </c>
      <c r="C8" t="s">
        <v>91</v>
      </c>
      <c r="D8" t="e">
        <f>#REF!</f>
        <v>#REF!</v>
      </c>
      <c r="E8" s="10" t="e" cm="1">
        <f t="array" ref="E8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8" s="6">
        <f>WSC_B[[#This Row],[time value]]*WSC_B[[#This Row],[multiplicator]]</f>
        <v>60</v>
      </c>
      <c r="G8" s="11">
        <v>1</v>
      </c>
      <c r="H8" s="3">
        <v>60</v>
      </c>
      <c r="I8" s="12" t="s">
        <v>202</v>
      </c>
      <c r="J8" s="2" t="s">
        <v>126</v>
      </c>
      <c r="K8" s="2" t="s">
        <v>129</v>
      </c>
    </row>
    <row r="9" spans="1:11" x14ac:dyDescent="0.3">
      <c r="A9" t="s">
        <v>519</v>
      </c>
      <c r="B9" t="s">
        <v>2</v>
      </c>
      <c r="C9" t="s">
        <v>91</v>
      </c>
      <c r="D9" t="e">
        <f>#REF!</f>
        <v>#REF!</v>
      </c>
      <c r="E9" s="10" t="e" cm="1">
        <f t="array" ref="E9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9" s="6">
        <f>WSC_B[[#This Row],[time value]]*WSC_B[[#This Row],[multiplicator]]</f>
        <v>0</v>
      </c>
      <c r="G9" s="11">
        <v>1</v>
      </c>
      <c r="H9" s="4"/>
      <c r="I9" s="14" t="s">
        <v>494</v>
      </c>
      <c r="J9" s="2" t="s">
        <v>143</v>
      </c>
      <c r="K9" s="2"/>
    </row>
    <row r="10" spans="1:11" x14ac:dyDescent="0.3">
      <c r="A10" t="s">
        <v>519</v>
      </c>
      <c r="B10" t="s">
        <v>2</v>
      </c>
      <c r="C10" t="s">
        <v>91</v>
      </c>
      <c r="D10" t="e">
        <f>#REF!</f>
        <v>#REF!</v>
      </c>
      <c r="E10" s="10" t="e" cm="1">
        <f t="array" ref="E10">_xlfn.IFS(WSC_B[[#This Row],[reference wisle]]="KO",#REF!+(WSC_B[[#This Row],[Time to KO]]/1440),WSC_B[[#This Row],[reference wisle]]="FW",#REF!+(WSC_B[[#This Row],[Time to KO]]/1440),WSC_B[[#This Row],[reference wisle]]="EOD","End of Day")</f>
        <v>#REF!</v>
      </c>
      <c r="F10" s="6">
        <f>WSC_B[[#This Row],[time value]]*WSC_B[[#This Row],[multiplicator]]</f>
        <v>65</v>
      </c>
      <c r="G10" s="11">
        <v>1</v>
      </c>
      <c r="H10" s="3">
        <v>65</v>
      </c>
      <c r="I10" s="14" t="s">
        <v>494</v>
      </c>
      <c r="J10" s="2" t="s">
        <v>169</v>
      </c>
      <c r="K10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B4BB-37BD-6240-ADAF-A4BD21FD86D3}">
  <sheetPr>
    <tabColor theme="6" tint="0.79998168889431442"/>
  </sheetPr>
  <dimension ref="A1:K10"/>
  <sheetViews>
    <sheetView workbookViewId="0">
      <selection activeCell="L1" sqref="L1"/>
    </sheetView>
  </sheetViews>
  <sheetFormatPr defaultColWidth="11" defaultRowHeight="15.6" x14ac:dyDescent="0.3"/>
  <cols>
    <col min="1" max="1" width="24.8984375" bestFit="1" customWidth="1"/>
    <col min="2" max="5" width="13.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519</v>
      </c>
      <c r="B2" t="s">
        <v>2</v>
      </c>
      <c r="C2" t="s">
        <v>144</v>
      </c>
      <c r="D2" t="e">
        <f>#REF!</f>
        <v>#REF!</v>
      </c>
      <c r="E2" s="10" t="e" cm="1">
        <f t="array" ref="E2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2" s="6">
        <f>WSC_C[[#This Row],[time value]]*WSC_C[[#This Row],[multiplicator]]</f>
        <v>-160</v>
      </c>
      <c r="G2" s="11">
        <v>-1</v>
      </c>
      <c r="H2" s="11">
        <v>160</v>
      </c>
      <c r="I2" s="12" t="s">
        <v>202</v>
      </c>
      <c r="J2" s="2" t="s">
        <v>10</v>
      </c>
      <c r="K2" s="2" t="s">
        <v>11</v>
      </c>
    </row>
    <row r="3" spans="1:11" x14ac:dyDescent="0.3">
      <c r="A3" t="s">
        <v>519</v>
      </c>
      <c r="B3" t="s">
        <v>2</v>
      </c>
      <c r="C3" t="s">
        <v>144</v>
      </c>
      <c r="D3" t="e">
        <f>#REF!</f>
        <v>#REF!</v>
      </c>
      <c r="E3" s="10" t="e" cm="1">
        <f t="array" ref="E3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3" s="6">
        <f>WSC_C[[#This Row],[time value]]*WSC_C[[#This Row],[multiplicator]]</f>
        <v>-155</v>
      </c>
      <c r="G3" s="11">
        <v>-1</v>
      </c>
      <c r="H3" s="3">
        <v>155</v>
      </c>
      <c r="I3" s="12" t="s">
        <v>202</v>
      </c>
      <c r="J3" s="2" t="s">
        <v>51</v>
      </c>
      <c r="K3" s="2" t="s">
        <v>11</v>
      </c>
    </row>
    <row r="4" spans="1:11" x14ac:dyDescent="0.3">
      <c r="A4" t="s">
        <v>519</v>
      </c>
      <c r="B4" t="s">
        <v>2</v>
      </c>
      <c r="C4" t="s">
        <v>144</v>
      </c>
      <c r="D4" t="e">
        <f>#REF!</f>
        <v>#REF!</v>
      </c>
      <c r="E4" s="10" t="e" cm="1">
        <f t="array" ref="E4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4" s="6">
        <f>WSC_C[[#This Row],[time value]]*WSC_C[[#This Row],[multiplicator]]</f>
        <v>-150</v>
      </c>
      <c r="G4" s="11">
        <v>-1</v>
      </c>
      <c r="H4" s="3">
        <v>150</v>
      </c>
      <c r="I4" s="12" t="s">
        <v>202</v>
      </c>
      <c r="J4" s="2" t="s">
        <v>14</v>
      </c>
      <c r="K4" s="2" t="s">
        <v>11</v>
      </c>
    </row>
    <row r="5" spans="1:11" x14ac:dyDescent="0.3">
      <c r="A5" t="s">
        <v>519</v>
      </c>
      <c r="B5" t="s">
        <v>2</v>
      </c>
      <c r="C5" t="s">
        <v>144</v>
      </c>
      <c r="D5" t="e">
        <f>#REF!</f>
        <v>#REF!</v>
      </c>
      <c r="E5" s="10" t="e" cm="1">
        <f t="array" ref="E5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5" s="6">
        <f>WSC_C[[#This Row],[time value]]*WSC_C[[#This Row],[multiplicator]]</f>
        <v>0</v>
      </c>
      <c r="G5" s="11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519</v>
      </c>
      <c r="B6" t="s">
        <v>2</v>
      </c>
      <c r="C6" t="s">
        <v>144</v>
      </c>
      <c r="D6" t="e">
        <f>#REF!</f>
        <v>#REF!</v>
      </c>
      <c r="E6" s="10" t="e" cm="1">
        <f t="array" ref="E6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6" s="6">
        <f>WSC_C[[#This Row],[time value]]*WSC_C[[#This Row],[multiplicator]]</f>
        <v>0</v>
      </c>
      <c r="G6" s="11">
        <v>1</v>
      </c>
      <c r="H6" s="3">
        <v>0</v>
      </c>
      <c r="I6" s="12" t="s">
        <v>202</v>
      </c>
      <c r="J6" s="2" t="s">
        <v>126</v>
      </c>
      <c r="K6" s="2" t="s">
        <v>129</v>
      </c>
    </row>
    <row r="7" spans="1:11" x14ac:dyDescent="0.3">
      <c r="A7" t="s">
        <v>519</v>
      </c>
      <c r="B7" t="s">
        <v>2</v>
      </c>
      <c r="C7" t="s">
        <v>144</v>
      </c>
      <c r="D7" t="e">
        <f>#REF!</f>
        <v>#REF!</v>
      </c>
      <c r="E7" s="10" t="e" cm="1">
        <f t="array" ref="E7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7" s="6">
        <f>WSC_C[[#This Row],[time value]]*WSC_C[[#This Row],[multiplicator]]</f>
        <v>45</v>
      </c>
      <c r="G7" s="11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519</v>
      </c>
      <c r="B8" t="s">
        <v>2</v>
      </c>
      <c r="C8" t="s">
        <v>144</v>
      </c>
      <c r="D8" t="e">
        <f>#REF!</f>
        <v>#REF!</v>
      </c>
      <c r="E8" s="10" t="e" cm="1">
        <f t="array" ref="E8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8" s="6">
        <f>WSC_C[[#This Row],[time value]]*WSC_C[[#This Row],[multiplicator]]</f>
        <v>60</v>
      </c>
      <c r="G8" s="11">
        <v>1</v>
      </c>
      <c r="H8" s="3">
        <v>60</v>
      </c>
      <c r="I8" s="12" t="s">
        <v>202</v>
      </c>
      <c r="J8" s="2" t="s">
        <v>126</v>
      </c>
      <c r="K8" s="2" t="s">
        <v>129</v>
      </c>
    </row>
    <row r="9" spans="1:11" x14ac:dyDescent="0.3">
      <c r="A9" t="s">
        <v>519</v>
      </c>
      <c r="B9" t="s">
        <v>2</v>
      </c>
      <c r="C9" t="s">
        <v>144</v>
      </c>
      <c r="D9" t="e">
        <f>#REF!</f>
        <v>#REF!</v>
      </c>
      <c r="E9" s="10" t="e" cm="1">
        <f t="array" ref="E9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9" s="6">
        <f>WSC_C[[#This Row],[time value]]*WSC_C[[#This Row],[multiplicator]]</f>
        <v>0</v>
      </c>
      <c r="G9" s="11">
        <v>1</v>
      </c>
      <c r="H9" s="4"/>
      <c r="I9" s="14" t="s">
        <v>494</v>
      </c>
      <c r="J9" s="2" t="s">
        <v>143</v>
      </c>
      <c r="K9" s="2"/>
    </row>
    <row r="10" spans="1:11" x14ac:dyDescent="0.3">
      <c r="A10" t="s">
        <v>519</v>
      </c>
      <c r="B10" t="s">
        <v>2</v>
      </c>
      <c r="C10" t="s">
        <v>144</v>
      </c>
      <c r="D10" t="e">
        <f>#REF!</f>
        <v>#REF!</v>
      </c>
      <c r="E10" s="10" t="e" cm="1">
        <f t="array" ref="E10">_xlfn.IFS(WSC_C[[#This Row],[reference wisle]]="KO",#REF!+(WSC_C[[#This Row],[Time to KO]]/1440),WSC_C[[#This Row],[reference wisle]]="FW",#REF!+(WSC_C[[#This Row],[Time to KO]]/1440),WSC_C[[#This Row],[reference wisle]]="EOD","End of Day")</f>
        <v>#REF!</v>
      </c>
      <c r="F10" s="6">
        <f>WSC_C[[#This Row],[time value]]*WSC_C[[#This Row],[multiplicator]]</f>
        <v>65</v>
      </c>
      <c r="G10" s="11">
        <v>1</v>
      </c>
      <c r="H10" s="3">
        <v>65</v>
      </c>
      <c r="I10" s="14" t="s">
        <v>494</v>
      </c>
      <c r="J10" s="2" t="s">
        <v>169</v>
      </c>
      <c r="K10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7926-0747-684D-9CCA-5B4FCEFE670F}">
  <sheetPr>
    <tabColor theme="6" tint="0.79998168889431442"/>
  </sheetPr>
  <dimension ref="A1:K10"/>
  <sheetViews>
    <sheetView workbookViewId="0">
      <selection activeCell="L1" sqref="L1"/>
    </sheetView>
  </sheetViews>
  <sheetFormatPr defaultColWidth="11" defaultRowHeight="15.6" x14ac:dyDescent="0.3"/>
  <cols>
    <col min="1" max="1" width="24.8984375" bestFit="1" customWidth="1"/>
    <col min="2" max="5" width="13.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519</v>
      </c>
      <c r="B2" t="s">
        <v>2</v>
      </c>
      <c r="C2" t="s">
        <v>170</v>
      </c>
      <c r="D2" t="e">
        <f>#REF!</f>
        <v>#REF!</v>
      </c>
      <c r="E2" s="10" t="e" cm="1">
        <f t="array" ref="E2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2" s="6">
        <f>WSC_D[[#This Row],[time value]]*WSC_D[[#This Row],[multiplicator]]</f>
        <v>-160</v>
      </c>
      <c r="G2" s="11">
        <v>-1</v>
      </c>
      <c r="H2" s="11">
        <v>160</v>
      </c>
      <c r="I2" s="12" t="s">
        <v>202</v>
      </c>
      <c r="J2" s="2" t="s">
        <v>10</v>
      </c>
      <c r="K2" s="2" t="s">
        <v>11</v>
      </c>
    </row>
    <row r="3" spans="1:11" x14ac:dyDescent="0.3">
      <c r="A3" t="s">
        <v>519</v>
      </c>
      <c r="B3" t="s">
        <v>2</v>
      </c>
      <c r="C3" t="s">
        <v>170</v>
      </c>
      <c r="D3" t="e">
        <f>#REF!</f>
        <v>#REF!</v>
      </c>
      <c r="E3" s="10" t="e" cm="1">
        <f t="array" ref="E3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3" s="6">
        <f>WSC_D[[#This Row],[time value]]*WSC_D[[#This Row],[multiplicator]]</f>
        <v>-155</v>
      </c>
      <c r="G3" s="11">
        <v>-1</v>
      </c>
      <c r="H3" s="3">
        <v>155</v>
      </c>
      <c r="I3" s="12" t="s">
        <v>202</v>
      </c>
      <c r="J3" s="2" t="s">
        <v>51</v>
      </c>
      <c r="K3" s="2" t="s">
        <v>11</v>
      </c>
    </row>
    <row r="4" spans="1:11" x14ac:dyDescent="0.3">
      <c r="A4" t="s">
        <v>519</v>
      </c>
      <c r="B4" t="s">
        <v>2</v>
      </c>
      <c r="C4" t="s">
        <v>170</v>
      </c>
      <c r="D4" t="e">
        <f>#REF!</f>
        <v>#REF!</v>
      </c>
      <c r="E4" s="10" t="e" cm="1">
        <f t="array" ref="E4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4" s="6">
        <f>WSC_D[[#This Row],[time value]]*WSC_D[[#This Row],[multiplicator]]</f>
        <v>-150</v>
      </c>
      <c r="G4" s="11">
        <v>-1</v>
      </c>
      <c r="H4" s="3">
        <v>150</v>
      </c>
      <c r="I4" s="12" t="s">
        <v>202</v>
      </c>
      <c r="J4" s="2" t="s">
        <v>14</v>
      </c>
      <c r="K4" s="2" t="s">
        <v>11</v>
      </c>
    </row>
    <row r="5" spans="1:11" x14ac:dyDescent="0.3">
      <c r="A5" t="s">
        <v>519</v>
      </c>
      <c r="B5" t="s">
        <v>2</v>
      </c>
      <c r="C5" t="s">
        <v>170</v>
      </c>
      <c r="D5" t="e">
        <f>#REF!</f>
        <v>#REF!</v>
      </c>
      <c r="E5" s="10" t="e" cm="1">
        <f t="array" ref="E5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5" s="6">
        <f>WSC_D[[#This Row],[time value]]*WSC_D[[#This Row],[multiplicator]]</f>
        <v>0</v>
      </c>
      <c r="G5" s="11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519</v>
      </c>
      <c r="B6" t="s">
        <v>2</v>
      </c>
      <c r="C6" t="s">
        <v>170</v>
      </c>
      <c r="D6" t="e">
        <f>#REF!</f>
        <v>#REF!</v>
      </c>
      <c r="E6" s="10" t="e" cm="1">
        <f t="array" ref="E6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6" s="6">
        <f>WSC_D[[#This Row],[time value]]*WSC_D[[#This Row],[multiplicator]]</f>
        <v>0</v>
      </c>
      <c r="G6" s="11">
        <v>1</v>
      </c>
      <c r="H6" s="3">
        <v>0</v>
      </c>
      <c r="I6" s="12" t="s">
        <v>202</v>
      </c>
      <c r="J6" s="2" t="s">
        <v>126</v>
      </c>
      <c r="K6" s="2" t="s">
        <v>129</v>
      </c>
    </row>
    <row r="7" spans="1:11" x14ac:dyDescent="0.3">
      <c r="A7" t="s">
        <v>519</v>
      </c>
      <c r="B7" t="s">
        <v>2</v>
      </c>
      <c r="C7" t="s">
        <v>170</v>
      </c>
      <c r="D7" t="e">
        <f>#REF!</f>
        <v>#REF!</v>
      </c>
      <c r="E7" s="10" t="e" cm="1">
        <f t="array" ref="E7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7" s="6">
        <f>WSC_D[[#This Row],[time value]]*WSC_D[[#This Row],[multiplicator]]</f>
        <v>45</v>
      </c>
      <c r="G7" s="11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519</v>
      </c>
      <c r="B8" t="s">
        <v>2</v>
      </c>
      <c r="C8" t="s">
        <v>170</v>
      </c>
      <c r="D8" t="e">
        <f>#REF!</f>
        <v>#REF!</v>
      </c>
      <c r="E8" s="10" t="e" cm="1">
        <f t="array" ref="E8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8" s="6">
        <f>WSC_D[[#This Row],[time value]]*WSC_D[[#This Row],[multiplicator]]</f>
        <v>60</v>
      </c>
      <c r="G8" s="11">
        <v>1</v>
      </c>
      <c r="H8" s="3">
        <v>60</v>
      </c>
      <c r="I8" s="12" t="s">
        <v>202</v>
      </c>
      <c r="J8" s="2" t="s">
        <v>126</v>
      </c>
      <c r="K8" s="2" t="s">
        <v>129</v>
      </c>
    </row>
    <row r="9" spans="1:11" x14ac:dyDescent="0.3">
      <c r="A9" t="s">
        <v>519</v>
      </c>
      <c r="B9" t="s">
        <v>2</v>
      </c>
      <c r="C9" t="s">
        <v>170</v>
      </c>
      <c r="D9" t="e">
        <f>#REF!</f>
        <v>#REF!</v>
      </c>
      <c r="E9" s="10" t="e" cm="1">
        <f t="array" ref="E9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9" s="6">
        <f>WSC_D[[#This Row],[time value]]*WSC_D[[#This Row],[multiplicator]]</f>
        <v>0</v>
      </c>
      <c r="G9" s="11">
        <v>1</v>
      </c>
      <c r="H9" s="4"/>
      <c r="I9" s="14" t="s">
        <v>494</v>
      </c>
      <c r="J9" s="2" t="s">
        <v>143</v>
      </c>
      <c r="K9" s="2"/>
    </row>
    <row r="10" spans="1:11" x14ac:dyDescent="0.3">
      <c r="A10" t="s">
        <v>519</v>
      </c>
      <c r="B10" t="s">
        <v>2</v>
      </c>
      <c r="C10" t="s">
        <v>170</v>
      </c>
      <c r="D10" t="e">
        <f>#REF!</f>
        <v>#REF!</v>
      </c>
      <c r="E10" s="10" t="e" cm="1">
        <f t="array" ref="E10">_xlfn.IFS(WSC_D[[#This Row],[reference wisle]]="KO",#REF!+(WSC_D[[#This Row],[Time to KO]]/1440),WSC_D[[#This Row],[reference wisle]]="FW",#REF!+(WSC_D[[#This Row],[Time to KO]]/1440),WSC_D[[#This Row],[reference wisle]]="EOD","End of Day")</f>
        <v>#REF!</v>
      </c>
      <c r="F10" s="6">
        <f>WSC_D[[#This Row],[time value]]*WSC_D[[#This Row],[multiplicator]]</f>
        <v>65</v>
      </c>
      <c r="G10" s="11">
        <v>1</v>
      </c>
      <c r="H10" s="3">
        <v>65</v>
      </c>
      <c r="I10" s="14" t="s">
        <v>494</v>
      </c>
      <c r="J10" s="2" t="s">
        <v>169</v>
      </c>
      <c r="K10" s="2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18F1-2384-3140-AE27-B8D2F7989B89}">
  <sheetPr>
    <tabColor theme="5" tint="0.79998168889431442"/>
  </sheetPr>
  <dimension ref="A1:K10"/>
  <sheetViews>
    <sheetView workbookViewId="0">
      <selection activeCell="I4" sqref="I4"/>
    </sheetView>
  </sheetViews>
  <sheetFormatPr defaultColWidth="11" defaultRowHeight="15.6" x14ac:dyDescent="0.3"/>
  <cols>
    <col min="1" max="1" width="12.5" bestFit="1" customWidth="1"/>
    <col min="2" max="4" width="12.5" customWidth="1"/>
    <col min="5" max="5" width="12.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520</v>
      </c>
      <c r="B2" t="s">
        <v>2</v>
      </c>
      <c r="C2" t="s">
        <v>30</v>
      </c>
      <c r="D2" t="e">
        <f>#REF!</f>
        <v>#REF!</v>
      </c>
      <c r="E2" s="10" t="e" cm="1">
        <f t="array" ref="E2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2" s="6">
        <f>DATATAIN_A[[#This Row],[time value]]*DATATAIN_A[[#This Row],[multiplicator]]</f>
        <v>-55</v>
      </c>
      <c r="G2" s="11">
        <v>-1</v>
      </c>
      <c r="H2" s="11">
        <v>55</v>
      </c>
      <c r="I2" s="12" t="s">
        <v>202</v>
      </c>
      <c r="J2" s="2" t="s">
        <v>98</v>
      </c>
      <c r="K2" s="2" t="s">
        <v>11</v>
      </c>
    </row>
    <row r="3" spans="1:11" x14ac:dyDescent="0.3">
      <c r="A3" t="s">
        <v>520</v>
      </c>
      <c r="B3" t="s">
        <v>2</v>
      </c>
      <c r="C3" t="s">
        <v>30</v>
      </c>
      <c r="D3" t="e">
        <f>#REF!</f>
        <v>#REF!</v>
      </c>
      <c r="E3" s="10" t="e" cm="1">
        <f t="array" ref="E3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3" s="6">
        <f>DATATAIN_A[[#This Row],[time value]]*DATATAIN_A[[#This Row],[multiplicator]]</f>
        <v>-50</v>
      </c>
      <c r="G3" s="11">
        <v>-1</v>
      </c>
      <c r="H3" s="3">
        <v>50</v>
      </c>
      <c r="I3" s="12" t="s">
        <v>202</v>
      </c>
      <c r="J3" s="2" t="s">
        <v>102</v>
      </c>
      <c r="K3" s="2" t="s">
        <v>37</v>
      </c>
    </row>
    <row r="4" spans="1:11" x14ac:dyDescent="0.3">
      <c r="A4" t="s">
        <v>520</v>
      </c>
      <c r="B4" t="s">
        <v>2</v>
      </c>
      <c r="C4" t="s">
        <v>30</v>
      </c>
      <c r="D4" t="e">
        <f>#REF!</f>
        <v>#REF!</v>
      </c>
      <c r="E4" s="10" t="e" cm="1">
        <f t="array" ref="E4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4" s="6">
        <f>DATATAIN_A[[#This Row],[time value]]*DATATAIN_A[[#This Row],[multiplicator]]</f>
        <v>-45</v>
      </c>
      <c r="G4" s="11">
        <v>-1</v>
      </c>
      <c r="H4" s="3">
        <v>45</v>
      </c>
      <c r="I4" s="12" t="s">
        <v>202</v>
      </c>
      <c r="J4" s="2" t="s">
        <v>105</v>
      </c>
      <c r="K4" s="2" t="s">
        <v>11</v>
      </c>
    </row>
    <row r="5" spans="1:11" x14ac:dyDescent="0.3">
      <c r="A5" t="s">
        <v>520</v>
      </c>
      <c r="B5" t="s">
        <v>2</v>
      </c>
      <c r="C5" t="s">
        <v>30</v>
      </c>
      <c r="D5" t="e">
        <f>#REF!</f>
        <v>#REF!</v>
      </c>
      <c r="E5" s="10" t="e" cm="1">
        <f t="array" ref="E5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5" s="6">
        <f>DATATAIN_A[[#This Row],[time value]]*DATATAIN_A[[#This Row],[multiplicator]]</f>
        <v>0</v>
      </c>
      <c r="G5" s="3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520</v>
      </c>
      <c r="B6" t="s">
        <v>2</v>
      </c>
      <c r="C6" t="s">
        <v>30</v>
      </c>
      <c r="D6" t="e">
        <f>#REF!</f>
        <v>#REF!</v>
      </c>
      <c r="E6" s="10" t="e" cm="1">
        <f t="array" ref="E6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6" s="6">
        <f>DATATAIN_A[[#This Row],[time value]]*DATATAIN_A[[#This Row],[multiplicator]]</f>
        <v>0</v>
      </c>
      <c r="G6" s="3">
        <v>1</v>
      </c>
      <c r="H6" s="3">
        <v>0</v>
      </c>
      <c r="I6" s="12" t="s">
        <v>202</v>
      </c>
      <c r="J6" s="2" t="s">
        <v>130</v>
      </c>
      <c r="K6" s="2" t="s">
        <v>131</v>
      </c>
    </row>
    <row r="7" spans="1:11" x14ac:dyDescent="0.3">
      <c r="A7" t="s">
        <v>520</v>
      </c>
      <c r="B7" t="s">
        <v>2</v>
      </c>
      <c r="C7" t="s">
        <v>30</v>
      </c>
      <c r="D7" t="e">
        <f>#REF!</f>
        <v>#REF!</v>
      </c>
      <c r="E7" s="10" t="e" cm="1">
        <f t="array" ref="E7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7" s="6">
        <f>DATATAIN_A[[#This Row],[time value]]*DATATAIN_A[[#This Row],[multiplicator]]</f>
        <v>45</v>
      </c>
      <c r="G7" s="3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520</v>
      </c>
      <c r="B8" t="s">
        <v>2</v>
      </c>
      <c r="C8" t="s">
        <v>30</v>
      </c>
      <c r="D8" t="e">
        <f>#REF!</f>
        <v>#REF!</v>
      </c>
      <c r="E8" s="10" t="e" cm="1">
        <f t="array" ref="E8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8" s="6">
        <f>DATATAIN_A[[#This Row],[time value]]*DATATAIN_A[[#This Row],[multiplicator]]</f>
        <v>60</v>
      </c>
      <c r="G8" s="3">
        <v>1</v>
      </c>
      <c r="H8" s="3">
        <v>60</v>
      </c>
      <c r="I8" s="12" t="s">
        <v>202</v>
      </c>
      <c r="J8" s="2" t="s">
        <v>130</v>
      </c>
      <c r="K8" s="2" t="s">
        <v>131</v>
      </c>
    </row>
    <row r="9" spans="1:11" x14ac:dyDescent="0.3">
      <c r="A9" t="s">
        <v>520</v>
      </c>
      <c r="B9" t="s">
        <v>2</v>
      </c>
      <c r="C9" t="s">
        <v>30</v>
      </c>
      <c r="D9" t="e">
        <f>#REF!</f>
        <v>#REF!</v>
      </c>
      <c r="E9" s="10" t="e" cm="1">
        <f t="array" ref="E9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9" s="6">
        <f>DATATAIN_A[[#This Row],[time value]]*DATATAIN_A[[#This Row],[multiplicator]]</f>
        <v>0</v>
      </c>
      <c r="G9" s="3">
        <v>1</v>
      </c>
      <c r="H9" s="3"/>
      <c r="I9" s="14" t="s">
        <v>494</v>
      </c>
      <c r="J9" s="2" t="s">
        <v>143</v>
      </c>
      <c r="K9" s="2"/>
    </row>
    <row r="10" spans="1:11" x14ac:dyDescent="0.3">
      <c r="A10" t="s">
        <v>520</v>
      </c>
      <c r="B10" t="s">
        <v>2</v>
      </c>
      <c r="C10" t="s">
        <v>30</v>
      </c>
      <c r="D10" t="e">
        <f>#REF!</f>
        <v>#REF!</v>
      </c>
      <c r="E10" s="10" t="e" cm="1">
        <f t="array" ref="E10">_xlfn.IFS(DATATAIN_A[[#This Row],[reference wisle]]="KO",#REF!+(DATATAIN_A[[#This Row],[Time to KO]]/1440),DATATAIN_A[[#This Row],[reference wisle]]="FW",#REF!+(DATATAIN_A[[#This Row],[Time to KO]]/1440),DATATAIN_A[[#This Row],[reference wisle]]="EOD","End of Day")</f>
        <v>#REF!</v>
      </c>
      <c r="F10" s="6">
        <f>DATATAIN_A[[#This Row],[time value]]*DATATAIN_A[[#This Row],[multiplicator]]</f>
        <v>15</v>
      </c>
      <c r="G10" s="3">
        <v>1</v>
      </c>
      <c r="H10" s="3">
        <v>15</v>
      </c>
      <c r="I10" s="14" t="s">
        <v>494</v>
      </c>
      <c r="J10" s="2" t="s">
        <v>147</v>
      </c>
      <c r="K10" s="2" t="s">
        <v>131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8178-C9DF-D14C-B400-D89D0DE809E4}">
  <sheetPr>
    <tabColor theme="5" tint="0.79998168889431442"/>
  </sheetPr>
  <dimension ref="A1:K10"/>
  <sheetViews>
    <sheetView workbookViewId="0">
      <selection activeCell="J10" sqref="J10"/>
    </sheetView>
  </sheetViews>
  <sheetFormatPr defaultColWidth="11" defaultRowHeight="15.6" x14ac:dyDescent="0.3"/>
  <cols>
    <col min="1" max="1" width="12.5" bestFit="1" customWidth="1"/>
    <col min="2" max="5" width="12.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520</v>
      </c>
      <c r="B2" t="s">
        <v>2</v>
      </c>
      <c r="C2" t="s">
        <v>91</v>
      </c>
      <c r="D2" t="e">
        <f>#REF!</f>
        <v>#REF!</v>
      </c>
      <c r="E2" s="10" t="e" cm="1">
        <f t="array" ref="E2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2" s="6">
        <f>DATATAIN_B[[#This Row],[time value]]*DATATAIN_B[[#This Row],[multiplicator]]</f>
        <v>-55</v>
      </c>
      <c r="G2" s="11">
        <v>-1</v>
      </c>
      <c r="H2" s="11">
        <v>55</v>
      </c>
      <c r="I2" s="12" t="s">
        <v>202</v>
      </c>
      <c r="J2" s="2" t="s">
        <v>98</v>
      </c>
      <c r="K2" s="2" t="s">
        <v>11</v>
      </c>
    </row>
    <row r="3" spans="1:11" x14ac:dyDescent="0.3">
      <c r="A3" t="s">
        <v>520</v>
      </c>
      <c r="B3" t="s">
        <v>2</v>
      </c>
      <c r="C3" t="s">
        <v>91</v>
      </c>
      <c r="D3" t="e">
        <f>#REF!</f>
        <v>#REF!</v>
      </c>
      <c r="E3" s="10" t="e" cm="1">
        <f t="array" ref="E3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3" s="6">
        <f>DATATAIN_B[[#This Row],[time value]]*DATATAIN_B[[#This Row],[multiplicator]]</f>
        <v>-50</v>
      </c>
      <c r="G3" s="11">
        <v>-1</v>
      </c>
      <c r="H3" s="3">
        <v>50</v>
      </c>
      <c r="I3" s="12" t="s">
        <v>202</v>
      </c>
      <c r="J3" s="2" t="s">
        <v>102</v>
      </c>
      <c r="K3" s="2" t="s">
        <v>37</v>
      </c>
    </row>
    <row r="4" spans="1:11" x14ac:dyDescent="0.3">
      <c r="A4" t="s">
        <v>520</v>
      </c>
      <c r="B4" t="s">
        <v>2</v>
      </c>
      <c r="C4" t="s">
        <v>91</v>
      </c>
      <c r="D4" t="e">
        <f>#REF!</f>
        <v>#REF!</v>
      </c>
      <c r="E4" s="10" t="e" cm="1">
        <f t="array" ref="E4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4" s="6">
        <f>DATATAIN_B[[#This Row],[time value]]*DATATAIN_B[[#This Row],[multiplicator]]</f>
        <v>-45</v>
      </c>
      <c r="G4" s="11">
        <v>-1</v>
      </c>
      <c r="H4" s="3">
        <v>45</v>
      </c>
      <c r="I4" s="12" t="s">
        <v>202</v>
      </c>
      <c r="J4" s="2" t="s">
        <v>105</v>
      </c>
      <c r="K4" s="2" t="s">
        <v>11</v>
      </c>
    </row>
    <row r="5" spans="1:11" x14ac:dyDescent="0.3">
      <c r="A5" t="s">
        <v>520</v>
      </c>
      <c r="B5" t="s">
        <v>2</v>
      </c>
      <c r="C5" t="s">
        <v>91</v>
      </c>
      <c r="D5" t="e">
        <f>#REF!</f>
        <v>#REF!</v>
      </c>
      <c r="E5" s="10" t="e" cm="1">
        <f t="array" ref="E5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5" s="6">
        <f>DATATAIN_B[[#This Row],[time value]]*DATATAIN_B[[#This Row],[multiplicator]]</f>
        <v>0</v>
      </c>
      <c r="G5" s="3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520</v>
      </c>
      <c r="B6" t="s">
        <v>2</v>
      </c>
      <c r="C6" t="s">
        <v>91</v>
      </c>
      <c r="D6" t="e">
        <f>#REF!</f>
        <v>#REF!</v>
      </c>
      <c r="E6" s="10" t="e" cm="1">
        <f t="array" ref="E6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6" s="6">
        <f>DATATAIN_B[[#This Row],[time value]]*DATATAIN_B[[#This Row],[multiplicator]]</f>
        <v>0</v>
      </c>
      <c r="G6" s="3">
        <v>1</v>
      </c>
      <c r="H6" s="3">
        <v>0</v>
      </c>
      <c r="I6" s="12" t="s">
        <v>202</v>
      </c>
      <c r="J6" s="2" t="s">
        <v>130</v>
      </c>
      <c r="K6" s="2" t="s">
        <v>131</v>
      </c>
    </row>
    <row r="7" spans="1:11" x14ac:dyDescent="0.3">
      <c r="A7" t="s">
        <v>520</v>
      </c>
      <c r="B7" t="s">
        <v>2</v>
      </c>
      <c r="C7" t="s">
        <v>91</v>
      </c>
      <c r="D7" t="e">
        <f>#REF!</f>
        <v>#REF!</v>
      </c>
      <c r="E7" s="10" t="e" cm="1">
        <f t="array" ref="E7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7" s="6">
        <f>DATATAIN_B[[#This Row],[time value]]*DATATAIN_B[[#This Row],[multiplicator]]</f>
        <v>45</v>
      </c>
      <c r="G7" s="3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520</v>
      </c>
      <c r="B8" t="s">
        <v>2</v>
      </c>
      <c r="C8" t="s">
        <v>91</v>
      </c>
      <c r="D8" t="e">
        <f>#REF!</f>
        <v>#REF!</v>
      </c>
      <c r="E8" s="10" t="e" cm="1">
        <f t="array" ref="E8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8" s="6">
        <f>DATATAIN_B[[#This Row],[time value]]*DATATAIN_B[[#This Row],[multiplicator]]</f>
        <v>60</v>
      </c>
      <c r="G8" s="3">
        <v>1</v>
      </c>
      <c r="H8" s="3">
        <v>60</v>
      </c>
      <c r="I8" s="12" t="s">
        <v>202</v>
      </c>
      <c r="J8" s="2" t="s">
        <v>130</v>
      </c>
      <c r="K8" s="2" t="s">
        <v>131</v>
      </c>
    </row>
    <row r="9" spans="1:11" x14ac:dyDescent="0.3">
      <c r="A9" t="s">
        <v>520</v>
      </c>
      <c r="B9" t="s">
        <v>2</v>
      </c>
      <c r="C9" t="s">
        <v>91</v>
      </c>
      <c r="D9" t="e">
        <f>#REF!</f>
        <v>#REF!</v>
      </c>
      <c r="E9" s="10" t="e" cm="1">
        <f t="array" ref="E9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9" s="6">
        <f>DATATAIN_B[[#This Row],[time value]]*DATATAIN_B[[#This Row],[multiplicator]]</f>
        <v>0</v>
      </c>
      <c r="G9" s="3">
        <v>1</v>
      </c>
      <c r="H9" s="3"/>
      <c r="I9" s="14" t="s">
        <v>494</v>
      </c>
      <c r="J9" s="2" t="s">
        <v>143</v>
      </c>
      <c r="K9" s="2"/>
    </row>
    <row r="10" spans="1:11" x14ac:dyDescent="0.3">
      <c r="A10" t="s">
        <v>520</v>
      </c>
      <c r="B10" t="s">
        <v>2</v>
      </c>
      <c r="C10" t="s">
        <v>91</v>
      </c>
      <c r="D10" t="e">
        <f>#REF!</f>
        <v>#REF!</v>
      </c>
      <c r="E10" s="10" t="e" cm="1">
        <f t="array" ref="E10">_xlfn.IFS(DATATAIN_B[[#This Row],[reference wisle]]="KO",#REF!+(DATATAIN_B[[#This Row],[Time to KO]]/1440),DATATAIN_B[[#This Row],[reference wisle]]="FW",#REF!+(DATATAIN_B[[#This Row],[Time to KO]]/1440),DATATAIN_B[[#This Row],[reference wisle]]="EOD","End of Day")</f>
        <v>#REF!</v>
      </c>
      <c r="F10" s="6">
        <f>DATATAIN_B[[#This Row],[time value]]*DATATAIN_B[[#This Row],[multiplicator]]</f>
        <v>15</v>
      </c>
      <c r="G10" s="3">
        <v>1</v>
      </c>
      <c r="H10" s="3">
        <v>15</v>
      </c>
      <c r="I10" s="14" t="s">
        <v>494</v>
      </c>
      <c r="J10" s="2" t="s">
        <v>147</v>
      </c>
      <c r="K10" s="2" t="s">
        <v>131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C6DE-2553-0D4C-AD2F-D2FB6003BC11}">
  <sheetPr>
    <tabColor theme="5" tint="0.79998168889431442"/>
  </sheetPr>
  <dimension ref="A1:K10"/>
  <sheetViews>
    <sheetView workbookViewId="0">
      <selection activeCell="J10" sqref="J10"/>
    </sheetView>
  </sheetViews>
  <sheetFormatPr defaultColWidth="11" defaultRowHeight="15.6" x14ac:dyDescent="0.3"/>
  <cols>
    <col min="1" max="1" width="12.5" bestFit="1" customWidth="1"/>
    <col min="2" max="5" width="12.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520</v>
      </c>
      <c r="B2" t="s">
        <v>2</v>
      </c>
      <c r="C2" t="s">
        <v>144</v>
      </c>
      <c r="D2" t="e">
        <f>#REF!</f>
        <v>#REF!</v>
      </c>
      <c r="E2" s="10" t="e" cm="1">
        <f t="array" ref="E2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2" s="6">
        <f>DATATAIN_C[[#This Row],[time value]]*DATATAIN_C[[#This Row],[multiplicator]]</f>
        <v>-55</v>
      </c>
      <c r="G2" s="11">
        <v>-1</v>
      </c>
      <c r="H2" s="11">
        <v>55</v>
      </c>
      <c r="I2" s="12" t="s">
        <v>202</v>
      </c>
      <c r="J2" s="2" t="s">
        <v>98</v>
      </c>
      <c r="K2" s="2" t="s">
        <v>11</v>
      </c>
    </row>
    <row r="3" spans="1:11" x14ac:dyDescent="0.3">
      <c r="A3" t="s">
        <v>520</v>
      </c>
      <c r="B3" t="s">
        <v>2</v>
      </c>
      <c r="C3" t="s">
        <v>144</v>
      </c>
      <c r="D3" t="e">
        <f>#REF!</f>
        <v>#REF!</v>
      </c>
      <c r="E3" s="10" t="e" cm="1">
        <f t="array" ref="E3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3" s="6">
        <f>DATATAIN_C[[#This Row],[time value]]*DATATAIN_C[[#This Row],[multiplicator]]</f>
        <v>-50</v>
      </c>
      <c r="G3" s="11">
        <v>-1</v>
      </c>
      <c r="H3" s="3">
        <v>50</v>
      </c>
      <c r="I3" s="12" t="s">
        <v>202</v>
      </c>
      <c r="J3" s="2" t="s">
        <v>102</v>
      </c>
      <c r="K3" s="2" t="s">
        <v>37</v>
      </c>
    </row>
    <row r="4" spans="1:11" x14ac:dyDescent="0.3">
      <c r="A4" t="s">
        <v>520</v>
      </c>
      <c r="B4" t="s">
        <v>2</v>
      </c>
      <c r="C4" t="s">
        <v>144</v>
      </c>
      <c r="D4" t="e">
        <f>#REF!</f>
        <v>#REF!</v>
      </c>
      <c r="E4" s="10" t="e" cm="1">
        <f t="array" ref="E4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4" s="6">
        <f>DATATAIN_C[[#This Row],[time value]]*DATATAIN_C[[#This Row],[multiplicator]]</f>
        <v>-45</v>
      </c>
      <c r="G4" s="11">
        <v>-1</v>
      </c>
      <c r="H4" s="3">
        <v>45</v>
      </c>
      <c r="I4" s="12" t="s">
        <v>202</v>
      </c>
      <c r="J4" s="2" t="s">
        <v>105</v>
      </c>
      <c r="K4" s="2" t="s">
        <v>11</v>
      </c>
    </row>
    <row r="5" spans="1:11" x14ac:dyDescent="0.3">
      <c r="A5" t="s">
        <v>520</v>
      </c>
      <c r="B5" t="s">
        <v>2</v>
      </c>
      <c r="C5" t="s">
        <v>144</v>
      </c>
      <c r="D5" t="e">
        <f>#REF!</f>
        <v>#REF!</v>
      </c>
      <c r="E5" s="10" t="e" cm="1">
        <f t="array" ref="E5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5" s="6">
        <f>DATATAIN_C[[#This Row],[time value]]*DATATAIN_C[[#This Row],[multiplicator]]</f>
        <v>0</v>
      </c>
      <c r="G5" s="3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520</v>
      </c>
      <c r="B6" t="s">
        <v>2</v>
      </c>
      <c r="C6" t="s">
        <v>144</v>
      </c>
      <c r="D6" t="e">
        <f>#REF!</f>
        <v>#REF!</v>
      </c>
      <c r="E6" s="10" t="e" cm="1">
        <f t="array" ref="E6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6" s="6">
        <f>DATATAIN_C[[#This Row],[time value]]*DATATAIN_C[[#This Row],[multiplicator]]</f>
        <v>0</v>
      </c>
      <c r="G6" s="3">
        <v>1</v>
      </c>
      <c r="H6" s="3">
        <v>0</v>
      </c>
      <c r="I6" s="12" t="s">
        <v>202</v>
      </c>
      <c r="J6" s="2" t="s">
        <v>130</v>
      </c>
      <c r="K6" s="2" t="s">
        <v>131</v>
      </c>
    </row>
    <row r="7" spans="1:11" x14ac:dyDescent="0.3">
      <c r="A7" t="s">
        <v>520</v>
      </c>
      <c r="B7" t="s">
        <v>2</v>
      </c>
      <c r="C7" t="s">
        <v>144</v>
      </c>
      <c r="D7" t="e">
        <f>#REF!</f>
        <v>#REF!</v>
      </c>
      <c r="E7" s="10" t="e" cm="1">
        <f t="array" ref="E7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7" s="6">
        <f>DATATAIN_C[[#This Row],[time value]]*DATATAIN_C[[#This Row],[multiplicator]]</f>
        <v>45</v>
      </c>
      <c r="G7" s="3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520</v>
      </c>
      <c r="B8" t="s">
        <v>2</v>
      </c>
      <c r="C8" t="s">
        <v>144</v>
      </c>
      <c r="D8" t="e">
        <f>#REF!</f>
        <v>#REF!</v>
      </c>
      <c r="E8" s="10" t="e" cm="1">
        <f t="array" ref="E8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8" s="6">
        <f>DATATAIN_C[[#This Row],[time value]]*DATATAIN_C[[#This Row],[multiplicator]]</f>
        <v>60</v>
      </c>
      <c r="G8" s="3">
        <v>1</v>
      </c>
      <c r="H8" s="3">
        <v>60</v>
      </c>
      <c r="I8" s="12" t="s">
        <v>202</v>
      </c>
      <c r="J8" s="2" t="s">
        <v>130</v>
      </c>
      <c r="K8" s="2" t="s">
        <v>131</v>
      </c>
    </row>
    <row r="9" spans="1:11" x14ac:dyDescent="0.3">
      <c r="A9" t="s">
        <v>520</v>
      </c>
      <c r="B9" t="s">
        <v>2</v>
      </c>
      <c r="C9" t="s">
        <v>144</v>
      </c>
      <c r="D9" t="e">
        <f>#REF!</f>
        <v>#REF!</v>
      </c>
      <c r="E9" s="10" t="e" cm="1">
        <f t="array" ref="E9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9" s="6">
        <f>DATATAIN_C[[#This Row],[time value]]*DATATAIN_C[[#This Row],[multiplicator]]</f>
        <v>0</v>
      </c>
      <c r="G9" s="3">
        <v>1</v>
      </c>
      <c r="H9" s="3"/>
      <c r="I9" s="14" t="s">
        <v>494</v>
      </c>
      <c r="J9" s="2" t="s">
        <v>143</v>
      </c>
      <c r="K9" s="2"/>
    </row>
    <row r="10" spans="1:11" x14ac:dyDescent="0.3">
      <c r="A10" t="s">
        <v>520</v>
      </c>
      <c r="B10" t="s">
        <v>2</v>
      </c>
      <c r="C10" t="s">
        <v>144</v>
      </c>
      <c r="D10" t="e">
        <f>#REF!</f>
        <v>#REF!</v>
      </c>
      <c r="E10" s="10" t="e" cm="1">
        <f t="array" ref="E10">_xlfn.IFS(DATATAIN_C[[#This Row],[reference wisle]]="KO",#REF!+(DATATAIN_C[[#This Row],[Time to KO]]/1440),DATATAIN_C[[#This Row],[reference wisle]]="FW",#REF!+(DATATAIN_C[[#This Row],[Time to KO]]/1440),DATATAIN_C[[#This Row],[reference wisle]]="EOD","End of Day")</f>
        <v>#REF!</v>
      </c>
      <c r="F10" s="6">
        <f>DATATAIN_C[[#This Row],[time value]]*DATATAIN_C[[#This Row],[multiplicator]]</f>
        <v>15</v>
      </c>
      <c r="G10" s="3">
        <v>1</v>
      </c>
      <c r="H10" s="3">
        <v>15</v>
      </c>
      <c r="I10" s="14" t="s">
        <v>494</v>
      </c>
      <c r="J10" s="2" t="s">
        <v>147</v>
      </c>
      <c r="K10" s="2" t="s">
        <v>131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0D79-AF52-354E-849E-DC30C7E94F88}">
  <sheetPr>
    <tabColor theme="5" tint="0.79998168889431442"/>
  </sheetPr>
  <dimension ref="A1:K10"/>
  <sheetViews>
    <sheetView workbookViewId="0">
      <selection activeCell="J10" sqref="J10"/>
    </sheetView>
  </sheetViews>
  <sheetFormatPr defaultColWidth="11" defaultRowHeight="15.6" x14ac:dyDescent="0.3"/>
  <cols>
    <col min="1" max="1" width="12.5" bestFit="1" customWidth="1"/>
    <col min="2" max="5" width="12.5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520</v>
      </c>
      <c r="B2" t="s">
        <v>2</v>
      </c>
      <c r="C2" t="s">
        <v>170</v>
      </c>
      <c r="D2" t="e">
        <f>#REF!</f>
        <v>#REF!</v>
      </c>
      <c r="E2" s="10" t="e" cm="1">
        <f t="array" ref="E2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2" s="6">
        <f>DATATAIN_D[[#This Row],[time value]]*DATATAIN_D[[#This Row],[multiplicator]]</f>
        <v>-55</v>
      </c>
      <c r="G2" s="11">
        <v>-1</v>
      </c>
      <c r="H2" s="11">
        <v>55</v>
      </c>
      <c r="I2" s="12" t="s">
        <v>202</v>
      </c>
      <c r="J2" s="2" t="s">
        <v>98</v>
      </c>
      <c r="K2" s="2" t="s">
        <v>11</v>
      </c>
    </row>
    <row r="3" spans="1:11" x14ac:dyDescent="0.3">
      <c r="A3" t="s">
        <v>520</v>
      </c>
      <c r="B3" t="s">
        <v>2</v>
      </c>
      <c r="C3" t="s">
        <v>170</v>
      </c>
      <c r="D3" t="e">
        <f>#REF!</f>
        <v>#REF!</v>
      </c>
      <c r="E3" s="10" t="e" cm="1">
        <f t="array" ref="E3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3" s="6">
        <f>DATATAIN_D[[#This Row],[time value]]*DATATAIN_D[[#This Row],[multiplicator]]</f>
        <v>-50</v>
      </c>
      <c r="G3" s="11">
        <v>-1</v>
      </c>
      <c r="H3" s="3">
        <v>50</v>
      </c>
      <c r="I3" s="12" t="s">
        <v>202</v>
      </c>
      <c r="J3" s="2" t="s">
        <v>102</v>
      </c>
      <c r="K3" s="2" t="s">
        <v>37</v>
      </c>
    </row>
    <row r="4" spans="1:11" x14ac:dyDescent="0.3">
      <c r="A4" t="s">
        <v>520</v>
      </c>
      <c r="B4" t="s">
        <v>2</v>
      </c>
      <c r="C4" t="s">
        <v>170</v>
      </c>
      <c r="D4" t="e">
        <f>#REF!</f>
        <v>#REF!</v>
      </c>
      <c r="E4" s="10" t="e" cm="1">
        <f t="array" ref="E4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4" s="6">
        <f>DATATAIN_D[[#This Row],[time value]]*DATATAIN_D[[#This Row],[multiplicator]]</f>
        <v>-45</v>
      </c>
      <c r="G4" s="11">
        <v>-1</v>
      </c>
      <c r="H4" s="3">
        <v>45</v>
      </c>
      <c r="I4" s="12" t="s">
        <v>202</v>
      </c>
      <c r="J4" s="2" t="s">
        <v>105</v>
      </c>
      <c r="K4" s="2" t="s">
        <v>11</v>
      </c>
    </row>
    <row r="5" spans="1:11" x14ac:dyDescent="0.3">
      <c r="A5" t="s">
        <v>520</v>
      </c>
      <c r="B5" t="s">
        <v>2</v>
      </c>
      <c r="C5" t="s">
        <v>170</v>
      </c>
      <c r="D5" t="e">
        <f>#REF!</f>
        <v>#REF!</v>
      </c>
      <c r="E5" s="10" t="e" cm="1">
        <f t="array" ref="E5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5" s="6">
        <f>DATATAIN_D[[#This Row],[time value]]*DATATAIN_D[[#This Row],[multiplicator]]</f>
        <v>0</v>
      </c>
      <c r="G5" s="3">
        <v>1</v>
      </c>
      <c r="H5" s="3">
        <v>0</v>
      </c>
      <c r="I5" s="12" t="s">
        <v>202</v>
      </c>
      <c r="J5" s="2" t="s">
        <v>125</v>
      </c>
      <c r="K5" s="2"/>
    </row>
    <row r="6" spans="1:11" x14ac:dyDescent="0.3">
      <c r="A6" t="s">
        <v>520</v>
      </c>
      <c r="B6" t="s">
        <v>2</v>
      </c>
      <c r="C6" t="s">
        <v>170</v>
      </c>
      <c r="D6" t="e">
        <f>#REF!</f>
        <v>#REF!</v>
      </c>
      <c r="E6" s="10" t="e" cm="1">
        <f t="array" ref="E6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6" s="6">
        <f>DATATAIN_D[[#This Row],[time value]]*DATATAIN_D[[#This Row],[multiplicator]]</f>
        <v>0</v>
      </c>
      <c r="G6" s="3">
        <v>1</v>
      </c>
      <c r="H6" s="3">
        <v>0</v>
      </c>
      <c r="I6" s="12" t="s">
        <v>202</v>
      </c>
      <c r="J6" s="2" t="s">
        <v>130</v>
      </c>
      <c r="K6" s="2" t="s">
        <v>131</v>
      </c>
    </row>
    <row r="7" spans="1:11" x14ac:dyDescent="0.3">
      <c r="A7" t="s">
        <v>520</v>
      </c>
      <c r="B7" t="s">
        <v>2</v>
      </c>
      <c r="C7" t="s">
        <v>170</v>
      </c>
      <c r="D7" t="e">
        <f>#REF!</f>
        <v>#REF!</v>
      </c>
      <c r="E7" s="10" t="e" cm="1">
        <f t="array" ref="E7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7" s="6">
        <f>DATATAIN_D[[#This Row],[time value]]*DATATAIN_D[[#This Row],[multiplicator]]</f>
        <v>45</v>
      </c>
      <c r="G7" s="3">
        <v>1</v>
      </c>
      <c r="H7" s="3">
        <v>45</v>
      </c>
      <c r="I7" s="12" t="s">
        <v>202</v>
      </c>
      <c r="J7" s="2" t="s">
        <v>139</v>
      </c>
      <c r="K7" s="2"/>
    </row>
    <row r="8" spans="1:11" x14ac:dyDescent="0.3">
      <c r="A8" t="s">
        <v>520</v>
      </c>
      <c r="B8" t="s">
        <v>2</v>
      </c>
      <c r="C8" t="s">
        <v>170</v>
      </c>
      <c r="D8" t="e">
        <f>#REF!</f>
        <v>#REF!</v>
      </c>
      <c r="E8" s="10" t="e" cm="1">
        <f t="array" ref="E8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8" s="6">
        <f>DATATAIN_D[[#This Row],[time value]]*DATATAIN_D[[#This Row],[multiplicator]]</f>
        <v>60</v>
      </c>
      <c r="G8" s="3">
        <v>1</v>
      </c>
      <c r="H8" s="3">
        <v>60</v>
      </c>
      <c r="I8" s="12" t="s">
        <v>202</v>
      </c>
      <c r="J8" s="2" t="s">
        <v>130</v>
      </c>
      <c r="K8" s="2" t="s">
        <v>131</v>
      </c>
    </row>
    <row r="9" spans="1:11" x14ac:dyDescent="0.3">
      <c r="A9" t="s">
        <v>520</v>
      </c>
      <c r="B9" t="s">
        <v>2</v>
      </c>
      <c r="C9" t="s">
        <v>170</v>
      </c>
      <c r="D9" t="e">
        <f>#REF!</f>
        <v>#REF!</v>
      </c>
      <c r="E9" s="10" t="e" cm="1">
        <f t="array" ref="E9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9" s="6">
        <f>DATATAIN_D[[#This Row],[time value]]*DATATAIN_D[[#This Row],[multiplicator]]</f>
        <v>0</v>
      </c>
      <c r="G9" s="3">
        <v>1</v>
      </c>
      <c r="H9" s="3"/>
      <c r="I9" s="14" t="s">
        <v>494</v>
      </c>
      <c r="J9" s="2" t="s">
        <v>143</v>
      </c>
      <c r="K9" s="2"/>
    </row>
    <row r="10" spans="1:11" x14ac:dyDescent="0.3">
      <c r="A10" t="s">
        <v>520</v>
      </c>
      <c r="B10" t="s">
        <v>2</v>
      </c>
      <c r="C10" t="s">
        <v>170</v>
      </c>
      <c r="D10" t="e">
        <f>#REF!</f>
        <v>#REF!</v>
      </c>
      <c r="E10" s="10" t="e" cm="1">
        <f t="array" ref="E10">_xlfn.IFS(DATATAIN_D[[#This Row],[reference wisle]]="KO",#REF!+(DATATAIN_D[[#This Row],[Time to KO]]/1440),DATATAIN_D[[#This Row],[reference wisle]]="FW",#REF!+(DATATAIN_D[[#This Row],[Time to KO]]/1440),DATATAIN_D[[#This Row],[reference wisle]]="EOD","End of Day")</f>
        <v>#REF!</v>
      </c>
      <c r="F10" s="6">
        <f>DATATAIN_D[[#This Row],[time value]]*DATATAIN_D[[#This Row],[multiplicator]]</f>
        <v>15</v>
      </c>
      <c r="G10" s="3">
        <v>1</v>
      </c>
      <c r="H10" s="3">
        <v>15</v>
      </c>
      <c r="I10" s="14" t="s">
        <v>494</v>
      </c>
      <c r="J10" s="2" t="s">
        <v>147</v>
      </c>
      <c r="K10" s="2" t="s">
        <v>131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F80F-6313-430C-A443-718E2F2588EC}">
  <sheetPr>
    <tabColor theme="3" tint="0.89999084444715716"/>
  </sheetPr>
  <dimension ref="A1:L19"/>
  <sheetViews>
    <sheetView workbookViewId="0">
      <selection activeCell="J14" sqref="J14"/>
    </sheetView>
  </sheetViews>
  <sheetFormatPr defaultColWidth="11" defaultRowHeight="15.6" x14ac:dyDescent="0.3"/>
  <cols>
    <col min="1" max="1" width="14.3984375" bestFit="1" customWidth="1"/>
    <col min="2" max="5" width="12.5" customWidth="1"/>
    <col min="6" max="9" width="13.09765625" style="1" customWidth="1"/>
    <col min="10" max="10" width="105" bestFit="1" customWidth="1"/>
    <col min="11" max="11" width="31.8984375" bestFit="1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2" x14ac:dyDescent="0.3">
      <c r="A2" t="s">
        <v>521</v>
      </c>
      <c r="B2" t="s">
        <v>2</v>
      </c>
      <c r="C2" t="s">
        <v>30</v>
      </c>
      <c r="D2" t="e">
        <f>#REF!</f>
        <v>#REF!</v>
      </c>
      <c r="E2" s="10" t="e" cm="1">
        <f t="array" ref="E2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2" s="6">
        <f>CC_A[[#This Row],[time value]]*CC_A[[#This Row],[multiplicator]]</f>
        <v>-110</v>
      </c>
      <c r="G2" s="11">
        <v>-1</v>
      </c>
      <c r="H2" s="11">
        <v>110</v>
      </c>
      <c r="I2" s="12" t="s">
        <v>202</v>
      </c>
      <c r="J2" s="23" t="s">
        <v>72</v>
      </c>
      <c r="K2" s="2" t="s">
        <v>11</v>
      </c>
      <c r="L2" s="2"/>
    </row>
    <row r="3" spans="1:12" x14ac:dyDescent="0.3">
      <c r="A3" t="s">
        <v>521</v>
      </c>
      <c r="B3" t="s">
        <v>2</v>
      </c>
      <c r="C3" t="s">
        <v>30</v>
      </c>
      <c r="D3" t="e">
        <f>#REF!</f>
        <v>#REF!</v>
      </c>
      <c r="E3" s="10" t="e" cm="1">
        <f t="array" ref="E3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3" s="6">
        <f>CC_A[[#This Row],[time value]]*CC_A[[#This Row],[multiplicator]]</f>
        <v>-95</v>
      </c>
      <c r="G3" s="11">
        <v>-1</v>
      </c>
      <c r="H3" s="3">
        <v>95</v>
      </c>
      <c r="I3" s="12" t="s">
        <v>202</v>
      </c>
      <c r="J3" s="23" t="s">
        <v>82</v>
      </c>
      <c r="K3" s="2" t="s">
        <v>11</v>
      </c>
    </row>
    <row r="4" spans="1:12" x14ac:dyDescent="0.3">
      <c r="A4" t="s">
        <v>521</v>
      </c>
      <c r="B4" t="s">
        <v>2</v>
      </c>
      <c r="C4" t="s">
        <v>30</v>
      </c>
      <c r="D4" t="e">
        <f>#REF!</f>
        <v>#REF!</v>
      </c>
      <c r="E4" s="10" t="e" cm="1">
        <f t="array" ref="E4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4" s="6">
        <f>CC_A[[#This Row],[time value]]*CC_A[[#This Row],[multiplicator]]</f>
        <v>-90</v>
      </c>
      <c r="G4" s="11">
        <v>-1</v>
      </c>
      <c r="H4" s="3">
        <v>90</v>
      </c>
      <c r="I4" s="12" t="s">
        <v>202</v>
      </c>
      <c r="J4" s="23" t="s">
        <v>86</v>
      </c>
      <c r="K4" s="2" t="s">
        <v>11</v>
      </c>
    </row>
    <row r="5" spans="1:12" x14ac:dyDescent="0.3">
      <c r="A5" t="s">
        <v>521</v>
      </c>
      <c r="B5" t="s">
        <v>2</v>
      </c>
      <c r="C5" t="s">
        <v>30</v>
      </c>
      <c r="D5" t="e">
        <f>#REF!</f>
        <v>#REF!</v>
      </c>
      <c r="E5" s="10" t="e" cm="1">
        <f t="array" ref="E5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5" s="6">
        <f>CC_A[[#This Row],[time value]]*CC_A[[#This Row],[multiplicator]]</f>
        <v>-30</v>
      </c>
      <c r="G5" s="11">
        <v>-1</v>
      </c>
      <c r="H5" s="3">
        <v>30</v>
      </c>
      <c r="I5" s="11" t="s">
        <v>202</v>
      </c>
      <c r="J5" s="23" t="s">
        <v>111</v>
      </c>
      <c r="K5" s="2" t="s">
        <v>112</v>
      </c>
    </row>
    <row r="6" spans="1:12" x14ac:dyDescent="0.3">
      <c r="A6" t="s">
        <v>521</v>
      </c>
      <c r="B6" t="s">
        <v>2</v>
      </c>
      <c r="C6" t="s">
        <v>30</v>
      </c>
      <c r="D6" t="e">
        <f>#REF!</f>
        <v>#REF!</v>
      </c>
      <c r="E6" s="10" t="e" cm="1">
        <f t="array" ref="E6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6" s="6">
        <f>CC_A[[#This Row],[time value]]*CC_A[[#This Row],[multiplicator]]</f>
        <v>-20</v>
      </c>
      <c r="G6" s="11">
        <v>-1</v>
      </c>
      <c r="H6" s="3">
        <v>20</v>
      </c>
      <c r="I6" s="11" t="s">
        <v>202</v>
      </c>
      <c r="J6" s="23" t="s">
        <v>115</v>
      </c>
      <c r="K6" s="24" t="s">
        <v>116</v>
      </c>
    </row>
    <row r="7" spans="1:12" x14ac:dyDescent="0.3">
      <c r="A7" t="s">
        <v>521</v>
      </c>
      <c r="B7" t="s">
        <v>2</v>
      </c>
      <c r="C7" t="s">
        <v>30</v>
      </c>
      <c r="D7" t="e">
        <f>#REF!</f>
        <v>#REF!</v>
      </c>
      <c r="E7" s="10" t="e" cm="1">
        <f t="array" ref="E7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7" s="6">
        <f>CC_A[[#This Row],[time value]]*CC_A[[#This Row],[multiplicator]]</f>
        <v>-15</v>
      </c>
      <c r="G7" s="11">
        <v>-1</v>
      </c>
      <c r="H7" s="3">
        <v>15</v>
      </c>
      <c r="I7" s="11" t="s">
        <v>202</v>
      </c>
      <c r="J7" s="23" t="s">
        <v>120</v>
      </c>
      <c r="K7" s="23" t="s">
        <v>121</v>
      </c>
    </row>
    <row r="8" spans="1:12" x14ac:dyDescent="0.3">
      <c r="A8" t="s">
        <v>521</v>
      </c>
      <c r="B8" t="s">
        <v>2</v>
      </c>
      <c r="C8" t="s">
        <v>30</v>
      </c>
      <c r="D8" t="e">
        <f>#REF!</f>
        <v>#REF!</v>
      </c>
      <c r="E8" s="10" t="e" cm="1">
        <f t="array" ref="E8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8" s="6">
        <f>CC_A[[#This Row],[time value]]*CC_A[[#This Row],[multiplicator]]</f>
        <v>0</v>
      </c>
      <c r="G8" s="3">
        <v>1</v>
      </c>
      <c r="H8" s="3">
        <v>0</v>
      </c>
      <c r="I8" s="12" t="s">
        <v>202</v>
      </c>
      <c r="J8" s="2" t="s">
        <v>125</v>
      </c>
      <c r="K8" s="2"/>
    </row>
    <row r="9" spans="1:12" x14ac:dyDescent="0.3">
      <c r="A9" t="s">
        <v>521</v>
      </c>
      <c r="B9" t="s">
        <v>2</v>
      </c>
      <c r="C9" t="s">
        <v>30</v>
      </c>
      <c r="D9" t="e">
        <f>#REF!</f>
        <v>#REF!</v>
      </c>
      <c r="E9" s="10" t="e" cm="1">
        <f t="array" ref="E9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9" s="6">
        <f>CC_A[[#This Row],[time value]]*CC_A[[#This Row],[multiplicator]]</f>
        <v>0</v>
      </c>
      <c r="G9" s="3">
        <v>1</v>
      </c>
      <c r="H9" s="3">
        <v>0</v>
      </c>
      <c r="I9" s="12" t="s">
        <v>202</v>
      </c>
      <c r="J9" s="2" t="s">
        <v>133</v>
      </c>
      <c r="K9" s="2" t="s">
        <v>134</v>
      </c>
    </row>
    <row r="10" spans="1:12" x14ac:dyDescent="0.3">
      <c r="A10" t="s">
        <v>521</v>
      </c>
      <c r="B10" t="s">
        <v>2</v>
      </c>
      <c r="C10" t="s">
        <v>30</v>
      </c>
      <c r="D10" t="e">
        <f>#REF!</f>
        <v>#REF!</v>
      </c>
      <c r="E10" s="10" t="e" cm="1">
        <f t="array" ref="E10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0" s="6">
        <f>CC_A[[#This Row],[time value]]*CC_A[[#This Row],[multiplicator]]</f>
        <v>0</v>
      </c>
      <c r="G10" s="3">
        <v>1</v>
      </c>
      <c r="H10" s="3">
        <v>0</v>
      </c>
      <c r="I10" s="12" t="s">
        <v>202</v>
      </c>
      <c r="J10" s="23" t="s">
        <v>135</v>
      </c>
      <c r="K10" s="24" t="s">
        <v>136</v>
      </c>
    </row>
    <row r="11" spans="1:12" x14ac:dyDescent="0.3">
      <c r="A11" t="s">
        <v>521</v>
      </c>
      <c r="B11" t="s">
        <v>2</v>
      </c>
      <c r="C11" t="s">
        <v>30</v>
      </c>
      <c r="D11" t="e">
        <f>#REF!</f>
        <v>#REF!</v>
      </c>
      <c r="E11" s="10" t="e" cm="1">
        <f t="array" ref="E11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1" s="6">
        <f>CC_A[[#This Row],[time value]]*CC_A[[#This Row],[multiplicator]]</f>
        <v>45</v>
      </c>
      <c r="G11" s="3">
        <v>1</v>
      </c>
      <c r="H11" s="3">
        <v>45</v>
      </c>
      <c r="I11" s="12" t="s">
        <v>202</v>
      </c>
      <c r="J11" s="2" t="s">
        <v>139</v>
      </c>
      <c r="K11" s="2"/>
    </row>
    <row r="12" spans="1:12" x14ac:dyDescent="0.3">
      <c r="A12" t="s">
        <v>521</v>
      </c>
      <c r="B12" t="s">
        <v>2</v>
      </c>
      <c r="C12" t="s">
        <v>30</v>
      </c>
      <c r="D12" t="e">
        <f>#REF!</f>
        <v>#REF!</v>
      </c>
      <c r="E12" s="10" t="e" cm="1">
        <f t="array" ref="E12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2" s="6">
        <f>CC_A[[#This Row],[time value]]*CC_A[[#This Row],[multiplicator]]</f>
        <v>60</v>
      </c>
      <c r="G12" s="3">
        <v>1</v>
      </c>
      <c r="H12" s="3">
        <v>60</v>
      </c>
      <c r="I12" s="12" t="s">
        <v>202</v>
      </c>
      <c r="J12" s="2" t="s">
        <v>133</v>
      </c>
      <c r="K12" s="2" t="s">
        <v>134</v>
      </c>
    </row>
    <row r="13" spans="1:12" x14ac:dyDescent="0.3">
      <c r="A13" t="s">
        <v>521</v>
      </c>
      <c r="B13" t="s">
        <v>2</v>
      </c>
      <c r="C13" t="s">
        <v>30</v>
      </c>
      <c r="D13" t="e">
        <f>#REF!</f>
        <v>#REF!</v>
      </c>
      <c r="E13" s="10" t="e" cm="1">
        <f t="array" ref="E13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3" s="6">
        <f>CC_A[[#This Row],[time value]]*CC_A[[#This Row],[multiplicator]]</f>
        <v>60</v>
      </c>
      <c r="G13" s="3">
        <v>1</v>
      </c>
      <c r="H13" s="3">
        <v>60</v>
      </c>
      <c r="I13" s="11" t="s">
        <v>202</v>
      </c>
      <c r="J13" s="23" t="s">
        <v>135</v>
      </c>
      <c r="K13" s="24" t="s">
        <v>136</v>
      </c>
    </row>
    <row r="14" spans="1:12" x14ac:dyDescent="0.3">
      <c r="A14" t="s">
        <v>521</v>
      </c>
      <c r="B14" t="s">
        <v>2</v>
      </c>
      <c r="C14" t="s">
        <v>30</v>
      </c>
      <c r="D14" t="e">
        <f>#REF!</f>
        <v>#REF!</v>
      </c>
      <c r="E14" s="10" t="e" cm="1">
        <f t="array" ref="E14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4" s="6">
        <f>CC_A[[#This Row],[time value]]*CC_A[[#This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2" x14ac:dyDescent="0.3">
      <c r="A15" t="s">
        <v>521</v>
      </c>
      <c r="B15" t="s">
        <v>2</v>
      </c>
      <c r="C15" t="s">
        <v>30</v>
      </c>
      <c r="D15" t="e">
        <f>#REF!</f>
        <v>#REF!</v>
      </c>
      <c r="E15" s="10" t="e" cm="1">
        <f t="array" ref="E15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5" s="6">
        <f>CC_A[[#This Row],[time value]]*CC_A[[#This Row],[multiplicator]]</f>
        <v>15</v>
      </c>
      <c r="G15" s="3">
        <v>1</v>
      </c>
      <c r="H15" s="3">
        <v>15</v>
      </c>
      <c r="I15" s="14" t="s">
        <v>494</v>
      </c>
      <c r="J15" s="23" t="s">
        <v>149</v>
      </c>
      <c r="K15" s="2" t="s">
        <v>11</v>
      </c>
    </row>
    <row r="16" spans="1:12" x14ac:dyDescent="0.3">
      <c r="A16" t="s">
        <v>521</v>
      </c>
      <c r="B16" t="s">
        <v>2</v>
      </c>
      <c r="C16" t="s">
        <v>30</v>
      </c>
      <c r="D16" t="e">
        <f>#REF!</f>
        <v>#REF!</v>
      </c>
      <c r="E16" s="10" t="e" cm="1">
        <f t="array" ref="E16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6" s="6">
        <f>CC_A[[#This Row],[time value]]*CC_A[[#This Row],[multiplicator]]</f>
        <v>15</v>
      </c>
      <c r="G16" s="3">
        <v>1</v>
      </c>
      <c r="H16" s="3">
        <v>15</v>
      </c>
      <c r="I16" s="14" t="s">
        <v>494</v>
      </c>
      <c r="J16" s="23" t="s">
        <v>150</v>
      </c>
      <c r="K16" s="24" t="s">
        <v>116</v>
      </c>
    </row>
    <row r="17" spans="1:11" x14ac:dyDescent="0.3">
      <c r="A17" t="s">
        <v>521</v>
      </c>
      <c r="B17" t="s">
        <v>2</v>
      </c>
      <c r="C17" t="s">
        <v>30</v>
      </c>
      <c r="D17" t="e">
        <f>#REF!</f>
        <v>#REF!</v>
      </c>
      <c r="E17" s="10" t="e" cm="1">
        <f t="array" ref="E17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7" s="6">
        <f>CC_A[[#This Row],[time value]]*CC_A[[#This Row],[multiplicator]]</f>
        <v>15</v>
      </c>
      <c r="G17" s="3">
        <v>1</v>
      </c>
      <c r="H17" s="3">
        <v>15</v>
      </c>
      <c r="I17" s="14" t="s">
        <v>494</v>
      </c>
      <c r="J17" s="23" t="s">
        <v>151</v>
      </c>
      <c r="K17" s="2" t="s">
        <v>11</v>
      </c>
    </row>
    <row r="18" spans="1:11" x14ac:dyDescent="0.3">
      <c r="A18" t="s">
        <v>521</v>
      </c>
      <c r="B18" t="s">
        <v>2</v>
      </c>
      <c r="C18" t="s">
        <v>30</v>
      </c>
      <c r="D18" t="e">
        <f>#REF!</f>
        <v>#REF!</v>
      </c>
      <c r="E18" s="10" t="e" cm="1">
        <f t="array" ref="E18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8" s="6">
        <f>CC_A[[#This Row],[time value]]*CC_A[[#This Row],[multiplicator]]</f>
        <v>15</v>
      </c>
      <c r="G18" s="3">
        <v>1</v>
      </c>
      <c r="H18" s="3">
        <v>15</v>
      </c>
      <c r="I18" s="14" t="s">
        <v>494</v>
      </c>
      <c r="J18" s="23" t="s">
        <v>152</v>
      </c>
      <c r="K18" s="2" t="s">
        <v>11</v>
      </c>
    </row>
    <row r="19" spans="1:11" x14ac:dyDescent="0.3">
      <c r="A19" t="s">
        <v>521</v>
      </c>
      <c r="B19" t="s">
        <v>2</v>
      </c>
      <c r="C19" t="s">
        <v>30</v>
      </c>
      <c r="D19" t="e">
        <f>#REF!</f>
        <v>#REF!</v>
      </c>
      <c r="E19" s="10" t="e" cm="1">
        <f t="array" ref="E19">_xlfn.IFS(CC_A[[#This Row],[reference wisle]]="KO",#REF!+(CC_A[[#This Row],[Time to KO]]/1440),CC_A[[#This Row],[reference wisle]]="FW",#REF!+(CC_A[[#This Row],[Time to KO]]/1440),CC_A[[#This Row],[reference wisle]]="EOD","End of Day")</f>
        <v>#REF!</v>
      </c>
      <c r="F19" s="6">
        <f>CC_A[[#This Row],[time value]]*CC_A[[#This Row],[multiplicator]]</f>
        <v>15</v>
      </c>
      <c r="G19" s="3">
        <v>1</v>
      </c>
      <c r="H19" s="3">
        <v>15</v>
      </c>
      <c r="I19" s="11" t="s">
        <v>494</v>
      </c>
      <c r="J19" s="23" t="s">
        <v>522</v>
      </c>
      <c r="K19" s="2" t="s">
        <v>11</v>
      </c>
    </row>
  </sheetData>
  <hyperlinks>
    <hyperlink ref="K6" r:id="rId1" xr:uid="{17B5C1D5-ABC5-4FB2-80B6-07883617B97D}"/>
    <hyperlink ref="K13" r:id="rId2" xr:uid="{B1F06B5A-69AF-4226-8642-590501946279}"/>
    <hyperlink ref="K10" r:id="rId3" xr:uid="{65FF4ECD-2903-440E-99C6-FCDC9FC9C3B5}"/>
    <hyperlink ref="K16" r:id="rId4" xr:uid="{D0807B6D-7402-49A0-B2F5-5EB73EE0E231}"/>
  </hyperlinks>
  <pageMargins left="0.7" right="0.7" top="0.78740157499999996" bottom="0.78740157499999996" header="0.3" footer="0.3"/>
  <tableParts count="1">
    <tablePart r:id="rId5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EC13-0DC7-44B7-BF5F-6B2373666CDF}">
  <sheetPr>
    <tabColor theme="3" tint="0.89999084444715716"/>
  </sheetPr>
  <dimension ref="A1:L19"/>
  <sheetViews>
    <sheetView workbookViewId="0">
      <selection activeCell="J13" sqref="J13"/>
    </sheetView>
  </sheetViews>
  <sheetFormatPr defaultColWidth="11" defaultRowHeight="15.6" x14ac:dyDescent="0.3"/>
  <cols>
    <col min="1" max="1" width="14.3984375" bestFit="1" customWidth="1"/>
    <col min="2" max="5" width="12.5" customWidth="1"/>
    <col min="6" max="9" width="13.09765625" style="1" customWidth="1"/>
    <col min="10" max="10" width="105" bestFit="1" customWidth="1"/>
    <col min="11" max="11" width="31.8984375" bestFit="1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2" x14ac:dyDescent="0.3">
      <c r="A2" t="s">
        <v>521</v>
      </c>
      <c r="B2" t="s">
        <v>2</v>
      </c>
      <c r="C2" t="s">
        <v>91</v>
      </c>
      <c r="D2" t="e">
        <f>#REF!</f>
        <v>#REF!</v>
      </c>
      <c r="E2" s="10" t="e" cm="1">
        <f t="array" ref="E2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2" s="6">
        <f>CC_B[[#This Row],[time value]]*CC_B[[#This Row],[multiplicator]]</f>
        <v>-110</v>
      </c>
      <c r="G2" s="11">
        <v>-1</v>
      </c>
      <c r="H2" s="11">
        <v>110</v>
      </c>
      <c r="I2" s="12" t="s">
        <v>202</v>
      </c>
      <c r="J2" s="23" t="s">
        <v>72</v>
      </c>
      <c r="K2" s="2" t="s">
        <v>11</v>
      </c>
      <c r="L2" s="2"/>
    </row>
    <row r="3" spans="1:12" x14ac:dyDescent="0.3">
      <c r="A3" t="s">
        <v>521</v>
      </c>
      <c r="B3" t="s">
        <v>2</v>
      </c>
      <c r="C3" t="s">
        <v>91</v>
      </c>
      <c r="D3" t="e">
        <f>#REF!</f>
        <v>#REF!</v>
      </c>
      <c r="E3" s="10" t="e" cm="1">
        <f t="array" ref="E3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3" s="6">
        <f>CC_B[[#This Row],[time value]]*CC_B[[#This Row],[multiplicator]]</f>
        <v>-95</v>
      </c>
      <c r="G3" s="11">
        <v>-1</v>
      </c>
      <c r="H3" s="3">
        <v>95</v>
      </c>
      <c r="I3" s="12" t="s">
        <v>202</v>
      </c>
      <c r="J3" s="23" t="s">
        <v>82</v>
      </c>
      <c r="K3" s="2" t="s">
        <v>11</v>
      </c>
    </row>
    <row r="4" spans="1:12" x14ac:dyDescent="0.3">
      <c r="A4" t="s">
        <v>521</v>
      </c>
      <c r="B4" t="s">
        <v>2</v>
      </c>
      <c r="C4" t="s">
        <v>91</v>
      </c>
      <c r="D4" t="e">
        <f>#REF!</f>
        <v>#REF!</v>
      </c>
      <c r="E4" s="10" t="e" cm="1">
        <f t="array" ref="E4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4" s="6">
        <f>CC_B[[#This Row],[time value]]*CC_B[[#This Row],[multiplicator]]</f>
        <v>-90</v>
      </c>
      <c r="G4" s="11">
        <v>-1</v>
      </c>
      <c r="H4" s="3">
        <v>90</v>
      </c>
      <c r="I4" s="12" t="s">
        <v>202</v>
      </c>
      <c r="J4" s="23" t="s">
        <v>86</v>
      </c>
      <c r="K4" s="2" t="s">
        <v>11</v>
      </c>
    </row>
    <row r="5" spans="1:12" x14ac:dyDescent="0.3">
      <c r="A5" t="s">
        <v>521</v>
      </c>
      <c r="B5" t="s">
        <v>2</v>
      </c>
      <c r="C5" t="s">
        <v>91</v>
      </c>
      <c r="D5" t="e">
        <f>#REF!</f>
        <v>#REF!</v>
      </c>
      <c r="E5" s="10" t="e" cm="1">
        <f t="array" ref="E5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5" s="6">
        <f>CC_B[[#This Row],[time value]]*CC_B[[#This Row],[multiplicator]]</f>
        <v>-30</v>
      </c>
      <c r="G5" s="11">
        <v>-1</v>
      </c>
      <c r="H5" s="3">
        <v>30</v>
      </c>
      <c r="I5" s="11" t="s">
        <v>202</v>
      </c>
      <c r="J5" s="23" t="s">
        <v>111</v>
      </c>
      <c r="K5" s="2" t="s">
        <v>112</v>
      </c>
    </row>
    <row r="6" spans="1:12" x14ac:dyDescent="0.3">
      <c r="A6" t="s">
        <v>521</v>
      </c>
      <c r="B6" t="s">
        <v>2</v>
      </c>
      <c r="C6" t="s">
        <v>91</v>
      </c>
      <c r="D6" t="e">
        <f>#REF!</f>
        <v>#REF!</v>
      </c>
      <c r="E6" s="10" t="e" cm="1">
        <f t="array" ref="E6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6" s="6">
        <f>CC_B[[#This Row],[time value]]*CC_B[[#This Row],[multiplicator]]</f>
        <v>-20</v>
      </c>
      <c r="G6" s="11">
        <v>-1</v>
      </c>
      <c r="H6" s="3">
        <v>20</v>
      </c>
      <c r="I6" s="11" t="s">
        <v>202</v>
      </c>
      <c r="J6" s="23" t="s">
        <v>115</v>
      </c>
      <c r="K6" s="24" t="s">
        <v>116</v>
      </c>
    </row>
    <row r="7" spans="1:12" x14ac:dyDescent="0.3">
      <c r="A7" t="s">
        <v>521</v>
      </c>
      <c r="B7" t="s">
        <v>2</v>
      </c>
      <c r="C7" t="s">
        <v>91</v>
      </c>
      <c r="D7" t="e">
        <f>#REF!</f>
        <v>#REF!</v>
      </c>
      <c r="E7" s="10" t="e" cm="1">
        <f t="array" ref="E7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7" s="6">
        <f>CC_B[[#This Row],[time value]]*CC_B[[#This Row],[multiplicator]]</f>
        <v>-15</v>
      </c>
      <c r="G7" s="11">
        <v>-1</v>
      </c>
      <c r="H7" s="3">
        <v>15</v>
      </c>
      <c r="I7" s="11" t="s">
        <v>202</v>
      </c>
      <c r="J7" s="23" t="s">
        <v>120</v>
      </c>
      <c r="K7" s="23" t="s">
        <v>121</v>
      </c>
    </row>
    <row r="8" spans="1:12" x14ac:dyDescent="0.3">
      <c r="A8" t="s">
        <v>521</v>
      </c>
      <c r="B8" t="s">
        <v>2</v>
      </c>
      <c r="C8" t="s">
        <v>91</v>
      </c>
      <c r="D8" t="e">
        <f>#REF!</f>
        <v>#REF!</v>
      </c>
      <c r="E8" s="10" t="e" cm="1">
        <f t="array" ref="E8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8" s="6">
        <f>CC_B[[#This Row],[time value]]*CC_B[[#This Row],[multiplicator]]</f>
        <v>0</v>
      </c>
      <c r="G8" s="3">
        <v>1</v>
      </c>
      <c r="H8" s="3">
        <v>0</v>
      </c>
      <c r="I8" s="12" t="s">
        <v>202</v>
      </c>
      <c r="J8" s="2" t="s">
        <v>125</v>
      </c>
      <c r="K8" s="2"/>
    </row>
    <row r="9" spans="1:12" x14ac:dyDescent="0.3">
      <c r="A9" t="s">
        <v>521</v>
      </c>
      <c r="B9" t="s">
        <v>2</v>
      </c>
      <c r="C9" t="s">
        <v>91</v>
      </c>
      <c r="D9" t="e">
        <f>#REF!</f>
        <v>#REF!</v>
      </c>
      <c r="E9" s="10" t="e" cm="1">
        <f t="array" ref="E9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9" s="6">
        <f>CC_B[[#This Row],[time value]]*CC_B[[#This Row],[multiplicator]]</f>
        <v>0</v>
      </c>
      <c r="G9" s="3">
        <v>1</v>
      </c>
      <c r="H9" s="3">
        <v>0</v>
      </c>
      <c r="I9" s="12" t="s">
        <v>202</v>
      </c>
      <c r="J9" s="2" t="s">
        <v>133</v>
      </c>
      <c r="K9" s="2" t="s">
        <v>134</v>
      </c>
    </row>
    <row r="10" spans="1:12" x14ac:dyDescent="0.3">
      <c r="A10" t="s">
        <v>521</v>
      </c>
      <c r="B10" t="s">
        <v>2</v>
      </c>
      <c r="C10" t="s">
        <v>91</v>
      </c>
      <c r="D10" t="e">
        <f>#REF!</f>
        <v>#REF!</v>
      </c>
      <c r="E10" s="10" t="e" cm="1">
        <f t="array" ref="E10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0" s="6">
        <f>CC_B[[#This Row],[time value]]*CC_B[[#This Row],[multiplicator]]</f>
        <v>0</v>
      </c>
      <c r="G10" s="3">
        <v>1</v>
      </c>
      <c r="H10" s="3">
        <v>0</v>
      </c>
      <c r="I10" s="12" t="s">
        <v>202</v>
      </c>
      <c r="J10" s="23" t="s">
        <v>135</v>
      </c>
      <c r="K10" s="24" t="s">
        <v>136</v>
      </c>
    </row>
    <row r="11" spans="1:12" x14ac:dyDescent="0.3">
      <c r="A11" t="s">
        <v>521</v>
      </c>
      <c r="B11" t="s">
        <v>2</v>
      </c>
      <c r="C11" t="s">
        <v>91</v>
      </c>
      <c r="D11" t="e">
        <f>#REF!</f>
        <v>#REF!</v>
      </c>
      <c r="E11" s="10" t="e" cm="1">
        <f t="array" ref="E11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1" s="6">
        <f>CC_B[[#This Row],[time value]]*CC_B[[#This Row],[multiplicator]]</f>
        <v>45</v>
      </c>
      <c r="G11" s="3">
        <v>1</v>
      </c>
      <c r="H11" s="3">
        <v>45</v>
      </c>
      <c r="I11" s="12" t="s">
        <v>202</v>
      </c>
      <c r="J11" s="2" t="s">
        <v>139</v>
      </c>
      <c r="K11" s="2"/>
    </row>
    <row r="12" spans="1:12" x14ac:dyDescent="0.3">
      <c r="A12" t="s">
        <v>521</v>
      </c>
      <c r="B12" t="s">
        <v>2</v>
      </c>
      <c r="C12" t="s">
        <v>91</v>
      </c>
      <c r="D12" t="e">
        <f>#REF!</f>
        <v>#REF!</v>
      </c>
      <c r="E12" s="10" t="e" cm="1">
        <f t="array" ref="E12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2" s="6">
        <f>CC_B[[#This Row],[time value]]*CC_B[[#This Row],[multiplicator]]</f>
        <v>60</v>
      </c>
      <c r="G12" s="3">
        <v>1</v>
      </c>
      <c r="H12" s="3">
        <v>60</v>
      </c>
      <c r="I12" s="12" t="s">
        <v>202</v>
      </c>
      <c r="J12" s="2" t="s">
        <v>133</v>
      </c>
      <c r="K12" s="2" t="s">
        <v>134</v>
      </c>
    </row>
    <row r="13" spans="1:12" x14ac:dyDescent="0.3">
      <c r="A13" t="s">
        <v>521</v>
      </c>
      <c r="B13" t="s">
        <v>2</v>
      </c>
      <c r="C13" t="s">
        <v>91</v>
      </c>
      <c r="D13" t="e">
        <f>#REF!</f>
        <v>#REF!</v>
      </c>
      <c r="E13" s="10" t="e" cm="1">
        <f t="array" ref="E13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3" s="6">
        <f>CC_B[[#This Row],[time value]]*CC_B[[#This Row],[multiplicator]]</f>
        <v>60</v>
      </c>
      <c r="G13" s="3">
        <v>1</v>
      </c>
      <c r="H13" s="3">
        <v>60</v>
      </c>
      <c r="I13" s="11" t="s">
        <v>202</v>
      </c>
      <c r="J13" s="23" t="s">
        <v>135</v>
      </c>
      <c r="K13" s="24" t="s">
        <v>136</v>
      </c>
    </row>
    <row r="14" spans="1:12" x14ac:dyDescent="0.3">
      <c r="A14" t="s">
        <v>521</v>
      </c>
      <c r="B14" t="s">
        <v>2</v>
      </c>
      <c r="C14" t="s">
        <v>91</v>
      </c>
      <c r="D14" t="e">
        <f>#REF!</f>
        <v>#REF!</v>
      </c>
      <c r="E14" s="10" t="e" cm="1">
        <f t="array" ref="E14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4" s="6">
        <f>CC_B[[#This Row],[time value]]*CC_B[[#This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2" x14ac:dyDescent="0.3">
      <c r="A15" t="s">
        <v>521</v>
      </c>
      <c r="B15" t="s">
        <v>2</v>
      </c>
      <c r="C15" t="s">
        <v>91</v>
      </c>
      <c r="D15" t="e">
        <f>#REF!</f>
        <v>#REF!</v>
      </c>
      <c r="E15" s="10" t="e" cm="1">
        <f t="array" ref="E15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5" s="6">
        <f>CC_B[[#This Row],[time value]]*CC_B[[#This Row],[multiplicator]]</f>
        <v>15</v>
      </c>
      <c r="G15" s="3">
        <v>1</v>
      </c>
      <c r="H15" s="3">
        <v>15</v>
      </c>
      <c r="I15" s="14" t="s">
        <v>494</v>
      </c>
      <c r="J15" s="23" t="s">
        <v>149</v>
      </c>
      <c r="K15" s="2" t="s">
        <v>11</v>
      </c>
    </row>
    <row r="16" spans="1:12" x14ac:dyDescent="0.3">
      <c r="A16" t="s">
        <v>521</v>
      </c>
      <c r="B16" t="s">
        <v>2</v>
      </c>
      <c r="C16" t="s">
        <v>91</v>
      </c>
      <c r="D16" t="e">
        <f>#REF!</f>
        <v>#REF!</v>
      </c>
      <c r="E16" s="10" t="e" cm="1">
        <f t="array" ref="E16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6" s="6">
        <f>CC_B[[#This Row],[time value]]*CC_B[[#This Row],[multiplicator]]</f>
        <v>15</v>
      </c>
      <c r="G16" s="3">
        <v>1</v>
      </c>
      <c r="H16" s="3">
        <v>15</v>
      </c>
      <c r="I16" s="14" t="s">
        <v>494</v>
      </c>
      <c r="J16" s="23" t="s">
        <v>150</v>
      </c>
      <c r="K16" s="24" t="s">
        <v>116</v>
      </c>
    </row>
    <row r="17" spans="1:11" x14ac:dyDescent="0.3">
      <c r="A17" t="s">
        <v>521</v>
      </c>
      <c r="B17" t="s">
        <v>2</v>
      </c>
      <c r="C17" t="s">
        <v>91</v>
      </c>
      <c r="D17" t="e">
        <f>#REF!</f>
        <v>#REF!</v>
      </c>
      <c r="E17" s="10" t="e" cm="1">
        <f t="array" ref="E17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7" s="6">
        <f>CC_B[[#This Row],[time value]]*CC_B[[#This Row],[multiplicator]]</f>
        <v>15</v>
      </c>
      <c r="G17" s="3">
        <v>1</v>
      </c>
      <c r="H17" s="3">
        <v>15</v>
      </c>
      <c r="I17" s="14" t="s">
        <v>494</v>
      </c>
      <c r="J17" s="23" t="s">
        <v>151</v>
      </c>
      <c r="K17" s="2" t="s">
        <v>11</v>
      </c>
    </row>
    <row r="18" spans="1:11" x14ac:dyDescent="0.3">
      <c r="A18" t="s">
        <v>521</v>
      </c>
      <c r="B18" t="s">
        <v>2</v>
      </c>
      <c r="C18" t="s">
        <v>91</v>
      </c>
      <c r="D18" t="e">
        <f>#REF!</f>
        <v>#REF!</v>
      </c>
      <c r="E18" s="10" t="e" cm="1">
        <f t="array" ref="E18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8" s="6">
        <f>CC_B[[#This Row],[time value]]*CC_B[[#This Row],[multiplicator]]</f>
        <v>15</v>
      </c>
      <c r="G18" s="3">
        <v>1</v>
      </c>
      <c r="H18" s="3">
        <v>15</v>
      </c>
      <c r="I18" s="14" t="s">
        <v>494</v>
      </c>
      <c r="J18" s="23" t="s">
        <v>152</v>
      </c>
      <c r="K18" s="2" t="s">
        <v>11</v>
      </c>
    </row>
    <row r="19" spans="1:11" x14ac:dyDescent="0.3">
      <c r="A19" t="s">
        <v>521</v>
      </c>
      <c r="B19" t="s">
        <v>2</v>
      </c>
      <c r="C19" t="s">
        <v>91</v>
      </c>
      <c r="D19" t="e">
        <f>#REF!</f>
        <v>#REF!</v>
      </c>
      <c r="E19" s="10" t="e" cm="1">
        <f t="array" ref="E19">_xlfn.IFS(CC_B[[#This Row],[reference wisle]]="KO",#REF!+(CC_B[[#This Row],[Time to KO]]/1440),CC_B[[#This Row],[reference wisle]]="FW",#REF!+(CC_B[[#This Row],[Time to KO]]/1440),CC_B[[#This Row],[reference wisle]]="EOD","End of Day")</f>
        <v>#REF!</v>
      </c>
      <c r="F19" s="6">
        <f>CC_B[[#This Row],[time value]]*CC_B[[#This Row],[multiplicator]]</f>
        <v>15</v>
      </c>
      <c r="G19" s="3">
        <v>1</v>
      </c>
      <c r="H19" s="3">
        <v>15</v>
      </c>
      <c r="I19" s="11" t="s">
        <v>494</v>
      </c>
      <c r="J19" s="23" t="s">
        <v>522</v>
      </c>
      <c r="K19" s="2" t="s">
        <v>11</v>
      </c>
    </row>
  </sheetData>
  <hyperlinks>
    <hyperlink ref="K6" r:id="rId1" xr:uid="{3F7BC9D7-9AFA-4926-A256-04C0DA592159}"/>
    <hyperlink ref="K13" r:id="rId2" xr:uid="{6C805C72-7AED-443E-8097-536FF1AA36D1}"/>
    <hyperlink ref="K10" r:id="rId3" xr:uid="{01DECAC1-FA7D-4684-A64E-5D43537CEB81}"/>
    <hyperlink ref="K16" r:id="rId4" xr:uid="{A5BE5E6F-A07B-4465-A718-77292ACA50BA}"/>
  </hyperlinks>
  <pageMargins left="0.7" right="0.7" top="0.78740157499999996" bottom="0.78740157499999996" header="0.3" footer="0.3"/>
  <tableParts count="1"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D98A-04A6-41C5-A9CC-E83F1A3D227E}">
  <sheetPr>
    <tabColor theme="3" tint="0.89999084444715716"/>
  </sheetPr>
  <dimension ref="A1:L19"/>
  <sheetViews>
    <sheetView workbookViewId="0">
      <selection activeCell="J13" sqref="J13"/>
    </sheetView>
  </sheetViews>
  <sheetFormatPr defaultColWidth="11" defaultRowHeight="15.6" x14ac:dyDescent="0.3"/>
  <cols>
    <col min="1" max="1" width="14.3984375" bestFit="1" customWidth="1"/>
    <col min="2" max="5" width="12.5" customWidth="1"/>
    <col min="6" max="9" width="13.09765625" style="1" customWidth="1"/>
    <col min="10" max="10" width="105" bestFit="1" customWidth="1"/>
    <col min="11" max="11" width="31.8984375" bestFit="1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2" x14ac:dyDescent="0.3">
      <c r="A2" t="s">
        <v>521</v>
      </c>
      <c r="B2" t="s">
        <v>2</v>
      </c>
      <c r="C2" t="s">
        <v>144</v>
      </c>
      <c r="D2" t="e">
        <f>#REF!</f>
        <v>#REF!</v>
      </c>
      <c r="E2" s="10" t="e" cm="1">
        <f t="array" ref="E2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2" s="6">
        <f>CC_C[[#This Row],[time value]]*CC_C[[#This Row],[multiplicator]]</f>
        <v>-110</v>
      </c>
      <c r="G2" s="11">
        <v>-1</v>
      </c>
      <c r="H2" s="11">
        <v>110</v>
      </c>
      <c r="I2" s="12" t="s">
        <v>202</v>
      </c>
      <c r="J2" s="23" t="s">
        <v>72</v>
      </c>
      <c r="K2" s="2" t="s">
        <v>11</v>
      </c>
      <c r="L2" s="2"/>
    </row>
    <row r="3" spans="1:12" x14ac:dyDescent="0.3">
      <c r="A3" t="s">
        <v>521</v>
      </c>
      <c r="B3" t="s">
        <v>2</v>
      </c>
      <c r="C3" t="s">
        <v>144</v>
      </c>
      <c r="D3" t="e">
        <f>#REF!</f>
        <v>#REF!</v>
      </c>
      <c r="E3" s="10" t="e" cm="1">
        <f t="array" ref="E3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3" s="6">
        <f>CC_C[[#This Row],[time value]]*CC_C[[#This Row],[multiplicator]]</f>
        <v>-95</v>
      </c>
      <c r="G3" s="11">
        <v>-1</v>
      </c>
      <c r="H3" s="3">
        <v>95</v>
      </c>
      <c r="I3" s="12" t="s">
        <v>202</v>
      </c>
      <c r="J3" s="23" t="s">
        <v>82</v>
      </c>
      <c r="K3" s="2" t="s">
        <v>11</v>
      </c>
    </row>
    <row r="4" spans="1:12" x14ac:dyDescent="0.3">
      <c r="A4" t="s">
        <v>521</v>
      </c>
      <c r="B4" t="s">
        <v>2</v>
      </c>
      <c r="C4" t="s">
        <v>144</v>
      </c>
      <c r="D4" t="e">
        <f>#REF!</f>
        <v>#REF!</v>
      </c>
      <c r="E4" s="10" t="e" cm="1">
        <f t="array" ref="E4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4" s="6">
        <f>CC_C[[#This Row],[time value]]*CC_C[[#This Row],[multiplicator]]</f>
        <v>-90</v>
      </c>
      <c r="G4" s="11">
        <v>-1</v>
      </c>
      <c r="H4" s="3">
        <v>90</v>
      </c>
      <c r="I4" s="12" t="s">
        <v>202</v>
      </c>
      <c r="J4" s="23" t="s">
        <v>86</v>
      </c>
      <c r="K4" s="2" t="s">
        <v>11</v>
      </c>
    </row>
    <row r="5" spans="1:12" x14ac:dyDescent="0.3">
      <c r="A5" t="s">
        <v>521</v>
      </c>
      <c r="B5" t="s">
        <v>2</v>
      </c>
      <c r="C5" t="s">
        <v>144</v>
      </c>
      <c r="D5" t="e">
        <f>#REF!</f>
        <v>#REF!</v>
      </c>
      <c r="E5" s="10" t="e" cm="1">
        <f t="array" ref="E5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5" s="6">
        <f>CC_C[[#This Row],[time value]]*CC_C[[#This Row],[multiplicator]]</f>
        <v>-30</v>
      </c>
      <c r="G5" s="11">
        <v>-1</v>
      </c>
      <c r="H5" s="3">
        <v>30</v>
      </c>
      <c r="I5" s="11" t="s">
        <v>202</v>
      </c>
      <c r="J5" s="23" t="s">
        <v>111</v>
      </c>
      <c r="K5" s="2" t="s">
        <v>112</v>
      </c>
    </row>
    <row r="6" spans="1:12" x14ac:dyDescent="0.3">
      <c r="A6" t="s">
        <v>521</v>
      </c>
      <c r="B6" t="s">
        <v>2</v>
      </c>
      <c r="C6" t="s">
        <v>144</v>
      </c>
      <c r="D6" t="e">
        <f>#REF!</f>
        <v>#REF!</v>
      </c>
      <c r="E6" s="10" t="e" cm="1">
        <f t="array" ref="E6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6" s="6">
        <f>CC_C[[#This Row],[time value]]*CC_C[[#This Row],[multiplicator]]</f>
        <v>-20</v>
      </c>
      <c r="G6" s="11">
        <v>-1</v>
      </c>
      <c r="H6" s="3">
        <v>20</v>
      </c>
      <c r="I6" s="11" t="s">
        <v>202</v>
      </c>
      <c r="J6" s="23" t="s">
        <v>115</v>
      </c>
      <c r="K6" s="24" t="s">
        <v>116</v>
      </c>
    </row>
    <row r="7" spans="1:12" x14ac:dyDescent="0.3">
      <c r="A7" t="s">
        <v>521</v>
      </c>
      <c r="B7" t="s">
        <v>2</v>
      </c>
      <c r="C7" t="s">
        <v>144</v>
      </c>
      <c r="D7" t="e">
        <f>#REF!</f>
        <v>#REF!</v>
      </c>
      <c r="E7" s="10" t="e" cm="1">
        <f t="array" ref="E7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7" s="6">
        <f>CC_C[[#This Row],[time value]]*CC_C[[#This Row],[multiplicator]]</f>
        <v>-15</v>
      </c>
      <c r="G7" s="11">
        <v>-1</v>
      </c>
      <c r="H7" s="3">
        <v>15</v>
      </c>
      <c r="I7" s="11" t="s">
        <v>202</v>
      </c>
      <c r="J7" s="23" t="s">
        <v>120</v>
      </c>
      <c r="K7" s="23" t="s">
        <v>121</v>
      </c>
    </row>
    <row r="8" spans="1:12" x14ac:dyDescent="0.3">
      <c r="A8" t="s">
        <v>521</v>
      </c>
      <c r="B8" t="s">
        <v>2</v>
      </c>
      <c r="C8" t="s">
        <v>144</v>
      </c>
      <c r="D8" t="e">
        <f>#REF!</f>
        <v>#REF!</v>
      </c>
      <c r="E8" s="10" t="e" cm="1">
        <f t="array" ref="E8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8" s="6">
        <f>CC_C[[#This Row],[time value]]*CC_C[[#This Row],[multiplicator]]</f>
        <v>0</v>
      </c>
      <c r="G8" s="3">
        <v>1</v>
      </c>
      <c r="H8" s="3">
        <v>0</v>
      </c>
      <c r="I8" s="12" t="s">
        <v>202</v>
      </c>
      <c r="J8" s="2" t="s">
        <v>125</v>
      </c>
      <c r="K8" s="2"/>
    </row>
    <row r="9" spans="1:12" x14ac:dyDescent="0.3">
      <c r="A9" t="s">
        <v>521</v>
      </c>
      <c r="B9" t="s">
        <v>2</v>
      </c>
      <c r="C9" t="s">
        <v>144</v>
      </c>
      <c r="D9" t="e">
        <f>#REF!</f>
        <v>#REF!</v>
      </c>
      <c r="E9" s="10" t="e" cm="1">
        <f t="array" ref="E9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9" s="6">
        <f>CC_C[[#This Row],[time value]]*CC_C[[#This Row],[multiplicator]]</f>
        <v>0</v>
      </c>
      <c r="G9" s="3">
        <v>1</v>
      </c>
      <c r="H9" s="3">
        <v>0</v>
      </c>
      <c r="I9" s="12" t="s">
        <v>202</v>
      </c>
      <c r="J9" s="2" t="s">
        <v>133</v>
      </c>
      <c r="K9" s="2" t="s">
        <v>134</v>
      </c>
    </row>
    <row r="10" spans="1:12" x14ac:dyDescent="0.3">
      <c r="A10" t="s">
        <v>521</v>
      </c>
      <c r="B10" t="s">
        <v>2</v>
      </c>
      <c r="C10" t="s">
        <v>144</v>
      </c>
      <c r="D10" t="e">
        <f>#REF!</f>
        <v>#REF!</v>
      </c>
      <c r="E10" s="10" t="e" cm="1">
        <f t="array" ref="E10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0" s="6">
        <f>CC_C[[#This Row],[time value]]*CC_C[[#This Row],[multiplicator]]</f>
        <v>0</v>
      </c>
      <c r="G10" s="3">
        <v>1</v>
      </c>
      <c r="H10" s="3">
        <v>0</v>
      </c>
      <c r="I10" s="12" t="s">
        <v>202</v>
      </c>
      <c r="J10" s="23" t="s">
        <v>135</v>
      </c>
      <c r="K10" s="24" t="s">
        <v>136</v>
      </c>
    </row>
    <row r="11" spans="1:12" x14ac:dyDescent="0.3">
      <c r="A11" t="s">
        <v>521</v>
      </c>
      <c r="B11" t="s">
        <v>2</v>
      </c>
      <c r="C11" t="s">
        <v>144</v>
      </c>
      <c r="D11" t="e">
        <f>#REF!</f>
        <v>#REF!</v>
      </c>
      <c r="E11" s="10" t="e" cm="1">
        <f t="array" ref="E11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1" s="6">
        <f>CC_C[[#This Row],[time value]]*CC_C[[#This Row],[multiplicator]]</f>
        <v>45</v>
      </c>
      <c r="G11" s="3">
        <v>1</v>
      </c>
      <c r="H11" s="3">
        <v>45</v>
      </c>
      <c r="I11" s="12" t="s">
        <v>202</v>
      </c>
      <c r="J11" s="2" t="s">
        <v>139</v>
      </c>
      <c r="K11" s="2"/>
    </row>
    <row r="12" spans="1:12" x14ac:dyDescent="0.3">
      <c r="A12" t="s">
        <v>521</v>
      </c>
      <c r="B12" t="s">
        <v>2</v>
      </c>
      <c r="C12" t="s">
        <v>144</v>
      </c>
      <c r="D12" t="e">
        <f>#REF!</f>
        <v>#REF!</v>
      </c>
      <c r="E12" s="10" t="e" cm="1">
        <f t="array" ref="E12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2" s="6">
        <f>CC_C[[#This Row],[time value]]*CC_C[[#This Row],[multiplicator]]</f>
        <v>60</v>
      </c>
      <c r="G12" s="3">
        <v>1</v>
      </c>
      <c r="H12" s="3">
        <v>60</v>
      </c>
      <c r="I12" s="12" t="s">
        <v>202</v>
      </c>
      <c r="J12" s="2" t="s">
        <v>133</v>
      </c>
      <c r="K12" s="2" t="s">
        <v>134</v>
      </c>
    </row>
    <row r="13" spans="1:12" x14ac:dyDescent="0.3">
      <c r="A13" t="s">
        <v>521</v>
      </c>
      <c r="B13" t="s">
        <v>2</v>
      </c>
      <c r="C13" t="s">
        <v>144</v>
      </c>
      <c r="D13" t="e">
        <f>#REF!</f>
        <v>#REF!</v>
      </c>
      <c r="E13" s="10" t="e" cm="1">
        <f t="array" ref="E13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3" s="6">
        <f>CC_C[[#This Row],[time value]]*CC_C[[#This Row],[multiplicator]]</f>
        <v>60</v>
      </c>
      <c r="G13" s="3">
        <v>1</v>
      </c>
      <c r="H13" s="3">
        <v>60</v>
      </c>
      <c r="I13" s="11" t="s">
        <v>202</v>
      </c>
      <c r="J13" s="23" t="s">
        <v>135</v>
      </c>
      <c r="K13" s="24" t="s">
        <v>136</v>
      </c>
    </row>
    <row r="14" spans="1:12" x14ac:dyDescent="0.3">
      <c r="A14" t="s">
        <v>521</v>
      </c>
      <c r="B14" t="s">
        <v>2</v>
      </c>
      <c r="C14" t="s">
        <v>144</v>
      </c>
      <c r="D14" t="e">
        <f>#REF!</f>
        <v>#REF!</v>
      </c>
      <c r="E14" s="10" t="e" cm="1">
        <f t="array" ref="E14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4" s="6">
        <f>CC_C[[#This Row],[time value]]*CC_C[[#This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2" x14ac:dyDescent="0.3">
      <c r="A15" t="s">
        <v>521</v>
      </c>
      <c r="B15" t="s">
        <v>2</v>
      </c>
      <c r="C15" t="s">
        <v>144</v>
      </c>
      <c r="D15" t="e">
        <f>#REF!</f>
        <v>#REF!</v>
      </c>
      <c r="E15" s="10" t="e" cm="1">
        <f t="array" ref="E15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5" s="6">
        <f>CC_C[[#This Row],[time value]]*CC_C[[#This Row],[multiplicator]]</f>
        <v>15</v>
      </c>
      <c r="G15" s="3">
        <v>1</v>
      </c>
      <c r="H15" s="3">
        <v>15</v>
      </c>
      <c r="I15" s="14" t="s">
        <v>494</v>
      </c>
      <c r="J15" s="23" t="s">
        <v>149</v>
      </c>
      <c r="K15" s="2" t="s">
        <v>11</v>
      </c>
    </row>
    <row r="16" spans="1:12" x14ac:dyDescent="0.3">
      <c r="A16" t="s">
        <v>521</v>
      </c>
      <c r="B16" t="s">
        <v>2</v>
      </c>
      <c r="C16" t="s">
        <v>144</v>
      </c>
      <c r="D16" t="e">
        <f>#REF!</f>
        <v>#REF!</v>
      </c>
      <c r="E16" s="10" t="e" cm="1">
        <f t="array" ref="E16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6" s="6">
        <f>CC_C[[#This Row],[time value]]*CC_C[[#This Row],[multiplicator]]</f>
        <v>15</v>
      </c>
      <c r="G16" s="3">
        <v>1</v>
      </c>
      <c r="H16" s="3">
        <v>15</v>
      </c>
      <c r="I16" s="14" t="s">
        <v>494</v>
      </c>
      <c r="J16" s="23" t="s">
        <v>150</v>
      </c>
      <c r="K16" s="24" t="s">
        <v>116</v>
      </c>
    </row>
    <row r="17" spans="1:11" x14ac:dyDescent="0.3">
      <c r="A17" t="s">
        <v>521</v>
      </c>
      <c r="B17" t="s">
        <v>2</v>
      </c>
      <c r="C17" t="s">
        <v>144</v>
      </c>
      <c r="D17" t="e">
        <f>#REF!</f>
        <v>#REF!</v>
      </c>
      <c r="E17" s="10" t="e" cm="1">
        <f t="array" ref="E17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7" s="6">
        <f>CC_C[[#This Row],[time value]]*CC_C[[#This Row],[multiplicator]]</f>
        <v>15</v>
      </c>
      <c r="G17" s="3">
        <v>1</v>
      </c>
      <c r="H17" s="3">
        <v>15</v>
      </c>
      <c r="I17" s="14" t="s">
        <v>494</v>
      </c>
      <c r="J17" s="23" t="s">
        <v>151</v>
      </c>
      <c r="K17" s="2" t="s">
        <v>11</v>
      </c>
    </row>
    <row r="18" spans="1:11" x14ac:dyDescent="0.3">
      <c r="A18" t="s">
        <v>521</v>
      </c>
      <c r="B18" t="s">
        <v>2</v>
      </c>
      <c r="C18" t="s">
        <v>144</v>
      </c>
      <c r="D18" t="e">
        <f>#REF!</f>
        <v>#REF!</v>
      </c>
      <c r="E18" s="10" t="e" cm="1">
        <f t="array" ref="E18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8" s="6">
        <f>CC_C[[#This Row],[time value]]*CC_C[[#This Row],[multiplicator]]</f>
        <v>15</v>
      </c>
      <c r="G18" s="3">
        <v>1</v>
      </c>
      <c r="H18" s="3">
        <v>15</v>
      </c>
      <c r="I18" s="14" t="s">
        <v>494</v>
      </c>
      <c r="J18" s="23" t="s">
        <v>152</v>
      </c>
      <c r="K18" s="2" t="s">
        <v>11</v>
      </c>
    </row>
    <row r="19" spans="1:11" x14ac:dyDescent="0.3">
      <c r="A19" t="s">
        <v>521</v>
      </c>
      <c r="B19" t="s">
        <v>2</v>
      </c>
      <c r="C19" t="s">
        <v>144</v>
      </c>
      <c r="D19" t="e">
        <f>#REF!</f>
        <v>#REF!</v>
      </c>
      <c r="E19" s="10" t="e" cm="1">
        <f t="array" ref="E19">_xlfn.IFS(CC_C[[#This Row],[reference wisle]]="KO",#REF!+(CC_C[[#This Row],[Time to KO]]/1440),CC_C[[#This Row],[reference wisle]]="FW",#REF!+(CC_C[[#This Row],[Time to KO]]/1440),CC_C[[#This Row],[reference wisle]]="EOD","End of Day")</f>
        <v>#REF!</v>
      </c>
      <c r="F19" s="6">
        <f>CC_C[[#This Row],[time value]]*CC_C[[#This Row],[multiplicator]]</f>
        <v>15</v>
      </c>
      <c r="G19" s="3">
        <v>1</v>
      </c>
      <c r="H19" s="3">
        <v>15</v>
      </c>
      <c r="I19" s="11" t="s">
        <v>494</v>
      </c>
      <c r="J19" s="23" t="s">
        <v>522</v>
      </c>
      <c r="K19" s="2" t="s">
        <v>11</v>
      </c>
    </row>
  </sheetData>
  <hyperlinks>
    <hyperlink ref="K6" r:id="rId1" xr:uid="{7E1BA163-3DB9-463E-9B1C-01C197DE93D8}"/>
    <hyperlink ref="K13" r:id="rId2" xr:uid="{777B5B30-D4F4-4476-A521-731D08EF749C}"/>
    <hyperlink ref="K10" r:id="rId3" xr:uid="{57CEA4E8-C8A1-404A-8405-2398432DFAF7}"/>
    <hyperlink ref="K16" r:id="rId4" xr:uid="{74F72BBE-C595-45DC-8201-0D371B7ADB55}"/>
  </hyperlinks>
  <pageMargins left="0.7" right="0.7" top="0.78740157499999996" bottom="0.78740157499999996" header="0.3" footer="0.3"/>
  <tableParts count="1"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DF51-2414-4D7B-BE0C-EBC9FFE6B81D}">
  <sheetPr>
    <tabColor theme="3" tint="0.89999084444715716"/>
  </sheetPr>
  <dimension ref="A1:L19"/>
  <sheetViews>
    <sheetView workbookViewId="0">
      <selection activeCell="J13" sqref="J13"/>
    </sheetView>
  </sheetViews>
  <sheetFormatPr defaultColWidth="11" defaultRowHeight="15.6" x14ac:dyDescent="0.3"/>
  <cols>
    <col min="1" max="1" width="14.3984375" bestFit="1" customWidth="1"/>
    <col min="2" max="5" width="12.5" customWidth="1"/>
    <col min="6" max="9" width="13.09765625" style="1" customWidth="1"/>
    <col min="10" max="10" width="105" bestFit="1" customWidth="1"/>
    <col min="11" max="11" width="31.8984375" bestFit="1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2" x14ac:dyDescent="0.3">
      <c r="A2" t="s">
        <v>521</v>
      </c>
      <c r="B2" t="s">
        <v>2</v>
      </c>
      <c r="C2" t="s">
        <v>170</v>
      </c>
      <c r="D2" t="e">
        <f>#REF!</f>
        <v>#REF!</v>
      </c>
      <c r="E2" s="10" t="e" cm="1">
        <f t="array" ref="E2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2" s="6">
        <f>CC_D[[#This Row],[time value]]*CC_D[[#This Row],[multiplicator]]</f>
        <v>-110</v>
      </c>
      <c r="G2" s="11">
        <v>-1</v>
      </c>
      <c r="H2" s="11">
        <v>110</v>
      </c>
      <c r="I2" s="12" t="s">
        <v>202</v>
      </c>
      <c r="J2" s="23" t="s">
        <v>72</v>
      </c>
      <c r="K2" s="2" t="s">
        <v>11</v>
      </c>
      <c r="L2" s="2"/>
    </row>
    <row r="3" spans="1:12" x14ac:dyDescent="0.3">
      <c r="A3" t="s">
        <v>521</v>
      </c>
      <c r="B3" t="s">
        <v>2</v>
      </c>
      <c r="C3" t="s">
        <v>170</v>
      </c>
      <c r="D3" t="e">
        <f>#REF!</f>
        <v>#REF!</v>
      </c>
      <c r="E3" s="10" t="e" cm="1">
        <f t="array" ref="E3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3" s="6">
        <f>CC_D[[#This Row],[time value]]*CC_D[[#This Row],[multiplicator]]</f>
        <v>-95</v>
      </c>
      <c r="G3" s="11">
        <v>-1</v>
      </c>
      <c r="H3" s="3">
        <v>95</v>
      </c>
      <c r="I3" s="12" t="s">
        <v>202</v>
      </c>
      <c r="J3" s="23" t="s">
        <v>82</v>
      </c>
      <c r="K3" s="2" t="s">
        <v>11</v>
      </c>
    </row>
    <row r="4" spans="1:12" x14ac:dyDescent="0.3">
      <c r="A4" t="s">
        <v>521</v>
      </c>
      <c r="B4" t="s">
        <v>2</v>
      </c>
      <c r="C4" t="s">
        <v>170</v>
      </c>
      <c r="D4" t="e">
        <f>#REF!</f>
        <v>#REF!</v>
      </c>
      <c r="E4" s="10" t="e" cm="1">
        <f t="array" ref="E4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4" s="6">
        <f>CC_D[[#This Row],[time value]]*CC_D[[#This Row],[multiplicator]]</f>
        <v>-90</v>
      </c>
      <c r="G4" s="11">
        <v>-1</v>
      </c>
      <c r="H4" s="3">
        <v>90</v>
      </c>
      <c r="I4" s="12" t="s">
        <v>202</v>
      </c>
      <c r="J4" s="23" t="s">
        <v>86</v>
      </c>
      <c r="K4" s="2" t="s">
        <v>11</v>
      </c>
    </row>
    <row r="5" spans="1:12" x14ac:dyDescent="0.3">
      <c r="A5" t="s">
        <v>521</v>
      </c>
      <c r="B5" t="s">
        <v>2</v>
      </c>
      <c r="C5" t="s">
        <v>170</v>
      </c>
      <c r="D5" t="e">
        <f>#REF!</f>
        <v>#REF!</v>
      </c>
      <c r="E5" s="10" t="e" cm="1">
        <f t="array" ref="E5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5" s="6">
        <f>CC_D[[#This Row],[time value]]*CC_D[[#This Row],[multiplicator]]</f>
        <v>-30</v>
      </c>
      <c r="G5" s="11">
        <v>-1</v>
      </c>
      <c r="H5" s="3">
        <v>30</v>
      </c>
      <c r="I5" s="11" t="s">
        <v>202</v>
      </c>
      <c r="J5" s="23" t="s">
        <v>111</v>
      </c>
      <c r="K5" s="2" t="s">
        <v>112</v>
      </c>
    </row>
    <row r="6" spans="1:12" x14ac:dyDescent="0.3">
      <c r="A6" t="s">
        <v>521</v>
      </c>
      <c r="B6" t="s">
        <v>2</v>
      </c>
      <c r="C6" t="s">
        <v>170</v>
      </c>
      <c r="D6" t="e">
        <f>#REF!</f>
        <v>#REF!</v>
      </c>
      <c r="E6" s="10" t="e" cm="1">
        <f t="array" ref="E6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6" s="6">
        <f>CC_D[[#This Row],[time value]]*CC_D[[#This Row],[multiplicator]]</f>
        <v>-20</v>
      </c>
      <c r="G6" s="11">
        <v>-1</v>
      </c>
      <c r="H6" s="3">
        <v>20</v>
      </c>
      <c r="I6" s="11" t="s">
        <v>202</v>
      </c>
      <c r="J6" s="23" t="s">
        <v>115</v>
      </c>
      <c r="K6" s="24" t="s">
        <v>116</v>
      </c>
    </row>
    <row r="7" spans="1:12" x14ac:dyDescent="0.3">
      <c r="A7" t="s">
        <v>521</v>
      </c>
      <c r="B7" t="s">
        <v>2</v>
      </c>
      <c r="C7" t="s">
        <v>170</v>
      </c>
      <c r="D7" t="e">
        <f>#REF!</f>
        <v>#REF!</v>
      </c>
      <c r="E7" s="10" t="e" cm="1">
        <f t="array" ref="E7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7" s="6">
        <f>CC_D[[#This Row],[time value]]*CC_D[[#This Row],[multiplicator]]</f>
        <v>-15</v>
      </c>
      <c r="G7" s="11">
        <v>-1</v>
      </c>
      <c r="H7" s="3">
        <v>15</v>
      </c>
      <c r="I7" s="11" t="s">
        <v>202</v>
      </c>
      <c r="J7" s="23" t="s">
        <v>120</v>
      </c>
      <c r="K7" s="23" t="s">
        <v>121</v>
      </c>
    </row>
    <row r="8" spans="1:12" x14ac:dyDescent="0.3">
      <c r="A8" t="s">
        <v>521</v>
      </c>
      <c r="B8" t="s">
        <v>2</v>
      </c>
      <c r="C8" t="s">
        <v>170</v>
      </c>
      <c r="D8" t="e">
        <f>#REF!</f>
        <v>#REF!</v>
      </c>
      <c r="E8" s="10" t="e" cm="1">
        <f t="array" ref="E8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8" s="6">
        <f>CC_D[[#This Row],[time value]]*CC_D[[#This Row],[multiplicator]]</f>
        <v>0</v>
      </c>
      <c r="G8" s="3">
        <v>1</v>
      </c>
      <c r="H8" s="3">
        <v>0</v>
      </c>
      <c r="I8" s="12" t="s">
        <v>202</v>
      </c>
      <c r="J8" s="2" t="s">
        <v>125</v>
      </c>
      <c r="K8" s="2"/>
    </row>
    <row r="9" spans="1:12" x14ac:dyDescent="0.3">
      <c r="A9" t="s">
        <v>521</v>
      </c>
      <c r="B9" t="s">
        <v>2</v>
      </c>
      <c r="C9" t="s">
        <v>170</v>
      </c>
      <c r="D9" t="e">
        <f>#REF!</f>
        <v>#REF!</v>
      </c>
      <c r="E9" s="10" t="e" cm="1">
        <f t="array" ref="E9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9" s="6">
        <f>CC_D[[#This Row],[time value]]*CC_D[[#This Row],[multiplicator]]</f>
        <v>0</v>
      </c>
      <c r="G9" s="3">
        <v>1</v>
      </c>
      <c r="H9" s="3">
        <v>0</v>
      </c>
      <c r="I9" s="12" t="s">
        <v>202</v>
      </c>
      <c r="J9" s="2" t="s">
        <v>133</v>
      </c>
      <c r="K9" s="2" t="s">
        <v>134</v>
      </c>
    </row>
    <row r="10" spans="1:12" x14ac:dyDescent="0.3">
      <c r="A10" t="s">
        <v>521</v>
      </c>
      <c r="B10" t="s">
        <v>2</v>
      </c>
      <c r="C10" t="s">
        <v>170</v>
      </c>
      <c r="D10" t="e">
        <f>#REF!</f>
        <v>#REF!</v>
      </c>
      <c r="E10" s="10" t="e" cm="1">
        <f t="array" ref="E10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0" s="6">
        <f>CC_D[[#This Row],[time value]]*CC_D[[#This Row],[multiplicator]]</f>
        <v>0</v>
      </c>
      <c r="G10" s="3">
        <v>1</v>
      </c>
      <c r="H10" s="3">
        <v>0</v>
      </c>
      <c r="I10" s="12" t="s">
        <v>202</v>
      </c>
      <c r="J10" s="23" t="s">
        <v>135</v>
      </c>
      <c r="K10" s="24" t="s">
        <v>136</v>
      </c>
    </row>
    <row r="11" spans="1:12" x14ac:dyDescent="0.3">
      <c r="A11" t="s">
        <v>521</v>
      </c>
      <c r="B11" t="s">
        <v>2</v>
      </c>
      <c r="C11" t="s">
        <v>170</v>
      </c>
      <c r="D11" t="e">
        <f>#REF!</f>
        <v>#REF!</v>
      </c>
      <c r="E11" s="10" t="e" cm="1">
        <f t="array" ref="E11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1" s="6">
        <f>CC_D[[#This Row],[time value]]*CC_D[[#This Row],[multiplicator]]</f>
        <v>45</v>
      </c>
      <c r="G11" s="3">
        <v>1</v>
      </c>
      <c r="H11" s="3">
        <v>45</v>
      </c>
      <c r="I11" s="12" t="s">
        <v>202</v>
      </c>
      <c r="J11" s="2" t="s">
        <v>139</v>
      </c>
      <c r="K11" s="2"/>
    </row>
    <row r="12" spans="1:12" x14ac:dyDescent="0.3">
      <c r="A12" t="s">
        <v>521</v>
      </c>
      <c r="B12" t="s">
        <v>2</v>
      </c>
      <c r="C12" t="s">
        <v>170</v>
      </c>
      <c r="D12" t="e">
        <f>#REF!</f>
        <v>#REF!</v>
      </c>
      <c r="E12" s="10" t="e" cm="1">
        <f t="array" ref="E12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2" s="6">
        <f>CC_D[[#This Row],[time value]]*CC_D[[#This Row],[multiplicator]]</f>
        <v>60</v>
      </c>
      <c r="G12" s="3">
        <v>1</v>
      </c>
      <c r="H12" s="3">
        <v>60</v>
      </c>
      <c r="I12" s="12" t="s">
        <v>202</v>
      </c>
      <c r="J12" s="2" t="s">
        <v>133</v>
      </c>
      <c r="K12" s="2" t="s">
        <v>134</v>
      </c>
    </row>
    <row r="13" spans="1:12" x14ac:dyDescent="0.3">
      <c r="A13" t="s">
        <v>521</v>
      </c>
      <c r="B13" t="s">
        <v>2</v>
      </c>
      <c r="C13" t="s">
        <v>170</v>
      </c>
      <c r="D13" t="e">
        <f>#REF!</f>
        <v>#REF!</v>
      </c>
      <c r="E13" s="10" t="e" cm="1">
        <f t="array" ref="E13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3" s="6">
        <f>CC_D[[#This Row],[time value]]*CC_D[[#This Row],[multiplicator]]</f>
        <v>60</v>
      </c>
      <c r="G13" s="3">
        <v>1</v>
      </c>
      <c r="H13" s="3">
        <v>60</v>
      </c>
      <c r="I13" s="11" t="s">
        <v>202</v>
      </c>
      <c r="J13" s="23" t="s">
        <v>135</v>
      </c>
      <c r="K13" s="24" t="s">
        <v>136</v>
      </c>
    </row>
    <row r="14" spans="1:12" x14ac:dyDescent="0.3">
      <c r="A14" t="s">
        <v>521</v>
      </c>
      <c r="B14" t="s">
        <v>2</v>
      </c>
      <c r="C14" t="s">
        <v>170</v>
      </c>
      <c r="D14" t="e">
        <f>#REF!</f>
        <v>#REF!</v>
      </c>
      <c r="E14" s="10" t="e" cm="1">
        <f t="array" ref="E14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4" s="6">
        <f>CC_D[[#This Row],[time value]]*CC_D[[#This Row],[multiplicator]]</f>
        <v>0</v>
      </c>
      <c r="G14" s="3">
        <v>1</v>
      </c>
      <c r="H14" s="3"/>
      <c r="I14" s="14" t="s">
        <v>494</v>
      </c>
      <c r="J14" s="2" t="s">
        <v>143</v>
      </c>
      <c r="K14" s="2"/>
    </row>
    <row r="15" spans="1:12" x14ac:dyDescent="0.3">
      <c r="A15" t="s">
        <v>521</v>
      </c>
      <c r="B15" t="s">
        <v>2</v>
      </c>
      <c r="C15" t="s">
        <v>170</v>
      </c>
      <c r="D15" t="e">
        <f>#REF!</f>
        <v>#REF!</v>
      </c>
      <c r="E15" s="10" t="e" cm="1">
        <f t="array" ref="E15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5" s="6">
        <f>CC_D[[#This Row],[time value]]*CC_D[[#This Row],[multiplicator]]</f>
        <v>15</v>
      </c>
      <c r="G15" s="3">
        <v>1</v>
      </c>
      <c r="H15" s="3">
        <v>15</v>
      </c>
      <c r="I15" s="14" t="s">
        <v>494</v>
      </c>
      <c r="J15" s="23" t="s">
        <v>149</v>
      </c>
      <c r="K15" s="2" t="s">
        <v>11</v>
      </c>
    </row>
    <row r="16" spans="1:12" x14ac:dyDescent="0.3">
      <c r="A16" t="s">
        <v>521</v>
      </c>
      <c r="B16" t="s">
        <v>2</v>
      </c>
      <c r="C16" t="s">
        <v>170</v>
      </c>
      <c r="D16" t="e">
        <f>#REF!</f>
        <v>#REF!</v>
      </c>
      <c r="E16" s="10" t="e" cm="1">
        <f t="array" ref="E16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6" s="6">
        <f>CC_D[[#This Row],[time value]]*CC_D[[#This Row],[multiplicator]]</f>
        <v>15</v>
      </c>
      <c r="G16" s="3">
        <v>1</v>
      </c>
      <c r="H16" s="3">
        <v>15</v>
      </c>
      <c r="I16" s="14" t="s">
        <v>494</v>
      </c>
      <c r="J16" s="23" t="s">
        <v>150</v>
      </c>
      <c r="K16" s="24" t="s">
        <v>116</v>
      </c>
    </row>
    <row r="17" spans="1:11" x14ac:dyDescent="0.3">
      <c r="A17" t="s">
        <v>521</v>
      </c>
      <c r="B17" t="s">
        <v>2</v>
      </c>
      <c r="C17" t="s">
        <v>170</v>
      </c>
      <c r="D17" t="e">
        <f>#REF!</f>
        <v>#REF!</v>
      </c>
      <c r="E17" s="10" t="e" cm="1">
        <f t="array" ref="E17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7" s="6">
        <f>CC_D[[#This Row],[time value]]*CC_D[[#This Row],[multiplicator]]</f>
        <v>15</v>
      </c>
      <c r="G17" s="3">
        <v>1</v>
      </c>
      <c r="H17" s="3">
        <v>15</v>
      </c>
      <c r="I17" s="14" t="s">
        <v>494</v>
      </c>
      <c r="J17" s="23" t="s">
        <v>151</v>
      </c>
      <c r="K17" s="2" t="s">
        <v>11</v>
      </c>
    </row>
    <row r="18" spans="1:11" x14ac:dyDescent="0.3">
      <c r="A18" t="s">
        <v>521</v>
      </c>
      <c r="B18" t="s">
        <v>2</v>
      </c>
      <c r="C18" t="s">
        <v>170</v>
      </c>
      <c r="D18" t="e">
        <f>#REF!</f>
        <v>#REF!</v>
      </c>
      <c r="E18" s="10" t="e" cm="1">
        <f t="array" ref="E18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8" s="6">
        <f>CC_D[[#This Row],[time value]]*CC_D[[#This Row],[multiplicator]]</f>
        <v>15</v>
      </c>
      <c r="G18" s="3">
        <v>1</v>
      </c>
      <c r="H18" s="3">
        <v>15</v>
      </c>
      <c r="I18" s="14" t="s">
        <v>494</v>
      </c>
      <c r="J18" s="23" t="s">
        <v>152</v>
      </c>
      <c r="K18" s="2" t="s">
        <v>11</v>
      </c>
    </row>
    <row r="19" spans="1:11" x14ac:dyDescent="0.3">
      <c r="A19" t="s">
        <v>521</v>
      </c>
      <c r="B19" t="s">
        <v>2</v>
      </c>
      <c r="C19" t="s">
        <v>170</v>
      </c>
      <c r="D19" t="e">
        <f>#REF!</f>
        <v>#REF!</v>
      </c>
      <c r="E19" s="10" t="e" cm="1">
        <f t="array" ref="E19">_xlfn.IFS(CC_D[[#This Row],[reference wisle]]="KO",#REF!+(CC_D[[#This Row],[Time to KO]]/1440),CC_D[[#This Row],[reference wisle]]="FW",#REF!+(CC_D[[#This Row],[Time to KO]]/1440),CC_D[[#This Row],[reference wisle]]="EOD","End of Day")</f>
        <v>#REF!</v>
      </c>
      <c r="F19" s="6">
        <f>CC_D[[#This Row],[time value]]*CC_D[[#This Row],[multiplicator]]</f>
        <v>15</v>
      </c>
      <c r="G19" s="3">
        <v>1</v>
      </c>
      <c r="H19" s="3">
        <v>15</v>
      </c>
      <c r="I19" s="11" t="s">
        <v>494</v>
      </c>
      <c r="J19" s="23" t="s">
        <v>522</v>
      </c>
      <c r="K19" s="2" t="s">
        <v>11</v>
      </c>
    </row>
  </sheetData>
  <hyperlinks>
    <hyperlink ref="K6" r:id="rId1" xr:uid="{4EBAC706-7C94-4D58-B998-E3244F9BB7A4}"/>
    <hyperlink ref="K13" r:id="rId2" xr:uid="{02F21719-A2B2-4F49-BC67-D3FC869A192C}"/>
    <hyperlink ref="K10" r:id="rId3" xr:uid="{95B3E6D1-D97F-4B60-BE81-319AB9477E0C}"/>
    <hyperlink ref="K16" r:id="rId4" xr:uid="{BD823567-2987-45AB-AC76-A9F59F39BBA6}"/>
  </hyperlinks>
  <pageMargins left="0.7" right="0.7" top="0.78740157499999996" bottom="0.78740157499999996" header="0.3" footer="0.3"/>
  <tableParts count="1"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7D12-F833-468C-A157-F9E26A5D1139}">
  <sheetPr>
    <tabColor theme="2" tint="-9.9978637043366805E-2"/>
  </sheetPr>
  <dimension ref="A1:K56"/>
  <sheetViews>
    <sheetView topLeftCell="A21" workbookViewId="0">
      <selection activeCell="H2" sqref="H2"/>
    </sheetView>
  </sheetViews>
  <sheetFormatPr defaultColWidth="11" defaultRowHeight="15.6" x14ac:dyDescent="0.3"/>
  <cols>
    <col min="1" max="1" width="12.5" bestFit="1" customWidth="1"/>
    <col min="2" max="4" width="12.5" customWidth="1"/>
    <col min="5" max="5" width="12.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523</v>
      </c>
      <c r="B2" t="s">
        <v>2</v>
      </c>
      <c r="C2" t="s">
        <v>30</v>
      </c>
      <c r="D2" t="e">
        <f>#REF!</f>
        <v>#REF!</v>
      </c>
      <c r="E2" s="10" t="e" cm="1">
        <f t="array" ref="E2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" s="6">
        <f>MB_A[[#This Row],[time value]]*MB_A[[#This Row],[multiplicator]]</f>
        <v>-195</v>
      </c>
      <c r="G2" s="11">
        <v>-1</v>
      </c>
      <c r="H2" s="11">
        <v>195</v>
      </c>
      <c r="I2" s="12" t="s">
        <v>202</v>
      </c>
      <c r="J2" s="2" t="s">
        <v>35</v>
      </c>
      <c r="K2" s="2" t="s">
        <v>11</v>
      </c>
    </row>
    <row r="3" spans="1:11" ht="46.8" x14ac:dyDescent="0.3">
      <c r="A3" t="s">
        <v>523</v>
      </c>
      <c r="B3" t="s">
        <v>2</v>
      </c>
      <c r="C3" t="s">
        <v>30</v>
      </c>
      <c r="D3" t="e">
        <f>#REF!</f>
        <v>#REF!</v>
      </c>
      <c r="E3" s="10" t="e" cm="1">
        <f t="array" ref="E3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" s="6">
        <f>MB_A[[#This Row],[time value]]*MB_A[[#This Row],[multiplicator]]</f>
        <v>-190</v>
      </c>
      <c r="G3" s="11">
        <v>-1</v>
      </c>
      <c r="H3" s="3">
        <v>190</v>
      </c>
      <c r="I3" s="12" t="s">
        <v>202</v>
      </c>
      <c r="J3" s="22" t="s">
        <v>36</v>
      </c>
      <c r="K3" s="2" t="s">
        <v>37</v>
      </c>
    </row>
    <row r="4" spans="1:11" x14ac:dyDescent="0.3">
      <c r="A4" t="s">
        <v>523</v>
      </c>
      <c r="B4" t="s">
        <v>2</v>
      </c>
      <c r="C4" t="s">
        <v>30</v>
      </c>
      <c r="D4" t="e">
        <f>#REF!</f>
        <v>#REF!</v>
      </c>
      <c r="E4" s="10" t="e" cm="1">
        <f t="array" ref="E4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" s="6">
        <f>MB_A[[#This Row],[time value]]*MB_A[[#This Row],[multiplicator]]</f>
        <v>-190</v>
      </c>
      <c r="G4" s="11">
        <v>-1</v>
      </c>
      <c r="H4" s="3">
        <v>190</v>
      </c>
      <c r="I4" s="12" t="s">
        <v>202</v>
      </c>
      <c r="J4" s="2" t="s">
        <v>38</v>
      </c>
      <c r="K4" s="2" t="s">
        <v>11</v>
      </c>
    </row>
    <row r="5" spans="1:11" x14ac:dyDescent="0.3">
      <c r="A5" t="s">
        <v>523</v>
      </c>
      <c r="B5" t="s">
        <v>2</v>
      </c>
      <c r="C5" t="s">
        <v>30</v>
      </c>
      <c r="D5" t="e">
        <f>#REF!</f>
        <v>#REF!</v>
      </c>
      <c r="E5" s="10" t="e" cm="1">
        <f t="array" ref="E5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" s="6">
        <f>MB_A[[#This Row],[time value]]*MB_A[[#This Row],[multiplicator]]</f>
        <v>-185</v>
      </c>
      <c r="G5" s="11">
        <v>-1</v>
      </c>
      <c r="H5" s="3">
        <v>185</v>
      </c>
      <c r="I5" s="12" t="s">
        <v>202</v>
      </c>
      <c r="J5" s="2" t="s">
        <v>39</v>
      </c>
      <c r="K5" s="2" t="s">
        <v>11</v>
      </c>
    </row>
    <row r="6" spans="1:11" x14ac:dyDescent="0.3">
      <c r="A6" t="s">
        <v>523</v>
      </c>
      <c r="B6" t="s">
        <v>2</v>
      </c>
      <c r="C6" t="s">
        <v>30</v>
      </c>
      <c r="D6" t="e">
        <f>#REF!</f>
        <v>#REF!</v>
      </c>
      <c r="E6" s="10" t="e" cm="1">
        <f t="array" ref="E6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6" s="6">
        <f>MB_A[[#This Row],[time value]]*MB_A[[#This Row],[multiplicator]]</f>
        <v>-183</v>
      </c>
      <c r="G6" s="11">
        <v>-1</v>
      </c>
      <c r="H6" s="3">
        <v>183</v>
      </c>
      <c r="I6" s="12" t="s">
        <v>202</v>
      </c>
      <c r="J6" s="2" t="s">
        <v>40</v>
      </c>
      <c r="K6" s="2" t="s">
        <v>11</v>
      </c>
    </row>
    <row r="7" spans="1:11" x14ac:dyDescent="0.3">
      <c r="A7" t="s">
        <v>523</v>
      </c>
      <c r="B7" t="s">
        <v>2</v>
      </c>
      <c r="C7" t="s">
        <v>30</v>
      </c>
      <c r="D7" t="e">
        <f>#REF!</f>
        <v>#REF!</v>
      </c>
      <c r="E7" s="10" t="e" cm="1">
        <f t="array" ref="E7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7" s="6">
        <f>MB_A[[#This Row],[time value]]*MB_A[[#This Row],[multiplicator]]</f>
        <v>-181</v>
      </c>
      <c r="G7" s="11">
        <v>-1</v>
      </c>
      <c r="H7" s="3">
        <v>181</v>
      </c>
      <c r="I7" s="12" t="s">
        <v>202</v>
      </c>
      <c r="J7" s="2" t="s">
        <v>41</v>
      </c>
      <c r="K7" s="2" t="s">
        <v>42</v>
      </c>
    </row>
    <row r="8" spans="1:11" x14ac:dyDescent="0.3">
      <c r="A8" t="s">
        <v>523</v>
      </c>
      <c r="B8" t="s">
        <v>2</v>
      </c>
      <c r="C8" t="s">
        <v>30</v>
      </c>
      <c r="D8" t="e">
        <f>#REF!</f>
        <v>#REF!</v>
      </c>
      <c r="E8" s="10" t="e" cm="1">
        <f t="array" ref="E8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8" s="6">
        <f>MB_A[[#This Row],[time value]]*MB_A[[#This Row],[multiplicator]]</f>
        <v>-180</v>
      </c>
      <c r="G8" s="11">
        <v>-1</v>
      </c>
      <c r="H8" s="3">
        <v>180</v>
      </c>
      <c r="I8" s="12" t="s">
        <v>202</v>
      </c>
      <c r="J8" s="2" t="s">
        <v>43</v>
      </c>
      <c r="K8" s="2" t="s">
        <v>11</v>
      </c>
    </row>
    <row r="9" spans="1:11" x14ac:dyDescent="0.3">
      <c r="A9" t="s">
        <v>523</v>
      </c>
      <c r="B9" t="s">
        <v>2</v>
      </c>
      <c r="C9" t="s">
        <v>30</v>
      </c>
      <c r="D9" t="e">
        <f>#REF!</f>
        <v>#REF!</v>
      </c>
      <c r="E9" s="10" t="e" cm="1">
        <f t="array" ref="E9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9" s="6">
        <f>MB_A[[#This Row],[time value]]*MB_A[[#This Row],[multiplicator]]</f>
        <v>-175</v>
      </c>
      <c r="G9" s="11">
        <v>-1</v>
      </c>
      <c r="H9" s="3">
        <v>175</v>
      </c>
      <c r="I9" s="12" t="s">
        <v>202</v>
      </c>
      <c r="J9" s="2" t="s">
        <v>44</v>
      </c>
      <c r="K9" s="2" t="s">
        <v>11</v>
      </c>
    </row>
    <row r="10" spans="1:11" x14ac:dyDescent="0.3">
      <c r="A10" t="s">
        <v>523</v>
      </c>
      <c r="B10" t="s">
        <v>2</v>
      </c>
      <c r="C10" t="s">
        <v>30</v>
      </c>
      <c r="D10" t="e">
        <f>#REF!</f>
        <v>#REF!</v>
      </c>
      <c r="E10" s="10" t="e" cm="1">
        <f t="array" ref="E10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0" s="6">
        <f>MB_A[[#This Row],[time value]]*MB_A[[#This Row],[multiplicator]]</f>
        <v>-173</v>
      </c>
      <c r="G10" s="11">
        <v>-1</v>
      </c>
      <c r="H10" s="3">
        <v>173</v>
      </c>
      <c r="I10" s="12" t="s">
        <v>202</v>
      </c>
      <c r="J10" s="2" t="s">
        <v>45</v>
      </c>
      <c r="K10" s="2" t="s">
        <v>11</v>
      </c>
    </row>
    <row r="11" spans="1:11" x14ac:dyDescent="0.3">
      <c r="A11" t="s">
        <v>523</v>
      </c>
      <c r="B11" t="s">
        <v>2</v>
      </c>
      <c r="C11" t="s">
        <v>30</v>
      </c>
      <c r="D11" t="e">
        <f>#REF!</f>
        <v>#REF!</v>
      </c>
      <c r="E11" s="10" t="e" cm="1">
        <f t="array" ref="E11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1" s="6">
        <f>MB_A[[#This Row],[time value]]*MB_A[[#This Row],[multiplicator]]</f>
        <v>-170</v>
      </c>
      <c r="G11" s="11">
        <v>-1</v>
      </c>
      <c r="H11" s="3">
        <v>170</v>
      </c>
      <c r="I11" s="12" t="s">
        <v>202</v>
      </c>
      <c r="J11" s="2" t="s">
        <v>46</v>
      </c>
      <c r="K11" s="2" t="s">
        <v>11</v>
      </c>
    </row>
    <row r="12" spans="1:11" x14ac:dyDescent="0.3">
      <c r="A12" t="s">
        <v>523</v>
      </c>
      <c r="B12" t="s">
        <v>2</v>
      </c>
      <c r="C12" t="s">
        <v>30</v>
      </c>
      <c r="D12" t="e">
        <f>#REF!</f>
        <v>#REF!</v>
      </c>
      <c r="E12" s="10" t="e" cm="1">
        <f t="array" ref="E12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2" s="6">
        <f>MB_A[[#This Row],[time value]]*MB_A[[#This Row],[multiplicator]]</f>
        <v>-165</v>
      </c>
      <c r="G12" s="11">
        <v>-1</v>
      </c>
      <c r="H12" s="3">
        <v>165</v>
      </c>
      <c r="I12" s="12" t="s">
        <v>202</v>
      </c>
      <c r="J12" s="2" t="s">
        <v>47</v>
      </c>
      <c r="K12" s="2" t="s">
        <v>11</v>
      </c>
    </row>
    <row r="13" spans="1:11" x14ac:dyDescent="0.3">
      <c r="A13" t="s">
        <v>523</v>
      </c>
      <c r="B13" t="s">
        <v>2</v>
      </c>
      <c r="C13" t="s">
        <v>30</v>
      </c>
      <c r="D13" t="e">
        <f>#REF!</f>
        <v>#REF!</v>
      </c>
      <c r="E13" s="10" t="e" cm="1">
        <f t="array" ref="E13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3" s="6">
        <f>MB_A[[#This Row],[time value]]*MB_A[[#This Row],[multiplicator]]</f>
        <v>-163</v>
      </c>
      <c r="G13" s="11">
        <v>-1</v>
      </c>
      <c r="H13" s="3">
        <v>163</v>
      </c>
      <c r="I13" s="12" t="s">
        <v>202</v>
      </c>
      <c r="J13" s="2" t="s">
        <v>48</v>
      </c>
      <c r="K13" s="2" t="s">
        <v>11</v>
      </c>
    </row>
    <row r="14" spans="1:11" x14ac:dyDescent="0.3">
      <c r="A14" t="s">
        <v>523</v>
      </c>
      <c r="B14" t="s">
        <v>2</v>
      </c>
      <c r="C14" t="s">
        <v>30</v>
      </c>
      <c r="D14" t="e">
        <f>#REF!</f>
        <v>#REF!</v>
      </c>
      <c r="E14" s="10" t="e" cm="1">
        <f t="array" ref="E14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4" s="6">
        <f>MB_A[[#This Row],[time value]]*MB_A[[#This Row],[multiplicator]]</f>
        <v>-161</v>
      </c>
      <c r="G14" s="11">
        <v>-1</v>
      </c>
      <c r="H14" s="3">
        <v>161</v>
      </c>
      <c r="I14" s="12" t="s">
        <v>202</v>
      </c>
      <c r="J14" s="2" t="s">
        <v>49</v>
      </c>
      <c r="K14" s="2" t="s">
        <v>42</v>
      </c>
    </row>
    <row r="15" spans="1:11" x14ac:dyDescent="0.3">
      <c r="A15" t="s">
        <v>523</v>
      </c>
      <c r="B15" t="s">
        <v>2</v>
      </c>
      <c r="C15" t="s">
        <v>30</v>
      </c>
      <c r="D15" t="e">
        <f>#REF!</f>
        <v>#REF!</v>
      </c>
      <c r="E15" s="10" t="e" cm="1">
        <f t="array" ref="E15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5" s="6">
        <f>MB_A[[#This Row],[time value]]*MB_A[[#This Row],[multiplicator]]</f>
        <v>-160</v>
      </c>
      <c r="G15" s="11">
        <v>-1</v>
      </c>
      <c r="H15" s="3">
        <v>160</v>
      </c>
      <c r="I15" s="12" t="s">
        <v>202</v>
      </c>
      <c r="J15" s="2" t="s">
        <v>50</v>
      </c>
      <c r="K15" s="2" t="s">
        <v>11</v>
      </c>
    </row>
    <row r="16" spans="1:11" x14ac:dyDescent="0.3">
      <c r="A16" t="s">
        <v>523</v>
      </c>
      <c r="B16" t="s">
        <v>2</v>
      </c>
      <c r="C16" t="s">
        <v>30</v>
      </c>
      <c r="D16" t="e">
        <f>#REF!</f>
        <v>#REF!</v>
      </c>
      <c r="E16" s="10" t="e" cm="1">
        <f t="array" ref="E16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6" s="6">
        <f>MB_A[[#This Row],[time value]]*MB_A[[#This Row],[multiplicator]]</f>
        <v>-155</v>
      </c>
      <c r="G16" s="11">
        <v>-1</v>
      </c>
      <c r="H16" s="3">
        <v>155</v>
      </c>
      <c r="I16" s="12" t="s">
        <v>202</v>
      </c>
      <c r="J16" s="2" t="s">
        <v>52</v>
      </c>
      <c r="K16" s="2" t="s">
        <v>11</v>
      </c>
    </row>
    <row r="17" spans="1:11" x14ac:dyDescent="0.3">
      <c r="A17" t="s">
        <v>523</v>
      </c>
      <c r="B17" t="s">
        <v>2</v>
      </c>
      <c r="C17" t="s">
        <v>30</v>
      </c>
      <c r="D17" t="e">
        <f>#REF!</f>
        <v>#REF!</v>
      </c>
      <c r="E17" s="10" t="e" cm="1">
        <f t="array" ref="E17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7" s="6">
        <f>MB_A[[#This Row],[time value]]*MB_A[[#This Row],[multiplicator]]</f>
        <v>-153</v>
      </c>
      <c r="G17" s="11">
        <v>-1</v>
      </c>
      <c r="H17" s="3">
        <v>153</v>
      </c>
      <c r="I17" s="12" t="s">
        <v>202</v>
      </c>
      <c r="J17" s="2" t="s">
        <v>53</v>
      </c>
      <c r="K17" s="2" t="s">
        <v>11</v>
      </c>
    </row>
    <row r="18" spans="1:11" x14ac:dyDescent="0.3">
      <c r="A18" t="s">
        <v>523</v>
      </c>
      <c r="B18" t="s">
        <v>2</v>
      </c>
      <c r="C18" t="s">
        <v>30</v>
      </c>
      <c r="D18" t="e">
        <f>#REF!</f>
        <v>#REF!</v>
      </c>
      <c r="E18" s="10" t="e" cm="1">
        <f t="array" ref="E18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8" s="6">
        <f>MB_A[[#This Row],[time value]]*MB_A[[#This Row],[multiplicator]]</f>
        <v>-150</v>
      </c>
      <c r="G18" s="11">
        <v>-1</v>
      </c>
      <c r="H18" s="3">
        <v>150</v>
      </c>
      <c r="I18" s="12" t="s">
        <v>202</v>
      </c>
      <c r="J18" s="2" t="s">
        <v>56</v>
      </c>
      <c r="K18" s="2" t="s">
        <v>11</v>
      </c>
    </row>
    <row r="19" spans="1:11" x14ac:dyDescent="0.3">
      <c r="A19" t="s">
        <v>523</v>
      </c>
      <c r="B19" t="s">
        <v>2</v>
      </c>
      <c r="C19" t="s">
        <v>30</v>
      </c>
      <c r="D19" t="e">
        <f>#REF!</f>
        <v>#REF!</v>
      </c>
      <c r="E19" s="10" t="e" cm="1">
        <f t="array" ref="E19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19" s="6">
        <f>MB_A[[#This Row],[time value]]*MB_A[[#This Row],[multiplicator]]</f>
        <v>-145</v>
      </c>
      <c r="G19" s="11">
        <v>-1</v>
      </c>
      <c r="H19" s="3">
        <v>145</v>
      </c>
      <c r="I19" s="12" t="s">
        <v>202</v>
      </c>
      <c r="J19" s="2" t="s">
        <v>57</v>
      </c>
      <c r="K19" s="2" t="s">
        <v>11</v>
      </c>
    </row>
    <row r="20" spans="1:11" x14ac:dyDescent="0.3">
      <c r="A20" t="s">
        <v>523</v>
      </c>
      <c r="B20" t="s">
        <v>2</v>
      </c>
      <c r="C20" t="s">
        <v>30</v>
      </c>
      <c r="D20" t="e">
        <f>#REF!</f>
        <v>#REF!</v>
      </c>
      <c r="E20" s="10" t="e" cm="1">
        <f t="array" ref="E20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0" s="6">
        <f>MB_A[[#This Row],[time value]]*MB_A[[#This Row],[multiplicator]]</f>
        <v>-143</v>
      </c>
      <c r="G20" s="11">
        <v>-1</v>
      </c>
      <c r="H20" s="3">
        <v>143</v>
      </c>
      <c r="I20" s="12" t="s">
        <v>202</v>
      </c>
      <c r="J20" s="2" t="s">
        <v>58</v>
      </c>
      <c r="K20" s="2" t="s">
        <v>11</v>
      </c>
    </row>
    <row r="21" spans="1:11" x14ac:dyDescent="0.3">
      <c r="A21" t="s">
        <v>523</v>
      </c>
      <c r="B21" t="s">
        <v>2</v>
      </c>
      <c r="C21" t="s">
        <v>30</v>
      </c>
      <c r="D21" t="e">
        <f>#REF!</f>
        <v>#REF!</v>
      </c>
      <c r="E21" s="10" t="e" cm="1">
        <f t="array" ref="E21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1" s="6">
        <f>MB_A[[#This Row],[time value]]*MB_A[[#This Row],[multiplicator]]</f>
        <v>-141</v>
      </c>
      <c r="G21" s="11">
        <v>-1</v>
      </c>
      <c r="H21" s="3">
        <v>141</v>
      </c>
      <c r="I21" s="12" t="s">
        <v>202</v>
      </c>
      <c r="J21" s="2" t="s">
        <v>59</v>
      </c>
      <c r="K21" s="2" t="s">
        <v>42</v>
      </c>
    </row>
    <row r="22" spans="1:11" x14ac:dyDescent="0.3">
      <c r="A22" t="s">
        <v>523</v>
      </c>
      <c r="B22" t="s">
        <v>2</v>
      </c>
      <c r="C22" t="s">
        <v>30</v>
      </c>
      <c r="D22" t="e">
        <f>#REF!</f>
        <v>#REF!</v>
      </c>
      <c r="E22" s="10" t="e" cm="1">
        <f t="array" ref="E22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2" s="6">
        <f>MB_A[[#This Row],[time value]]*MB_A[[#This Row],[multiplicator]]</f>
        <v>-140</v>
      </c>
      <c r="G22" s="11">
        <v>-1</v>
      </c>
      <c r="H22" s="3">
        <v>140</v>
      </c>
      <c r="I22" s="12" t="s">
        <v>202</v>
      </c>
      <c r="J22" s="2" t="s">
        <v>60</v>
      </c>
      <c r="K22" s="2" t="s">
        <v>11</v>
      </c>
    </row>
    <row r="23" spans="1:11" x14ac:dyDescent="0.3">
      <c r="A23" t="s">
        <v>523</v>
      </c>
      <c r="B23" t="s">
        <v>2</v>
      </c>
      <c r="C23" t="s">
        <v>30</v>
      </c>
      <c r="D23" t="e">
        <f>#REF!</f>
        <v>#REF!</v>
      </c>
      <c r="E23" s="10" t="e" cm="1">
        <f t="array" ref="E23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3" s="6">
        <f>MB_A[[#This Row],[time value]]*MB_A[[#This Row],[multiplicator]]</f>
        <v>-135</v>
      </c>
      <c r="G23" s="11">
        <v>-1</v>
      </c>
      <c r="H23" s="3">
        <v>135</v>
      </c>
      <c r="I23" s="12" t="s">
        <v>202</v>
      </c>
      <c r="J23" s="2" t="s">
        <v>61</v>
      </c>
      <c r="K23" s="2" t="s">
        <v>11</v>
      </c>
    </row>
    <row r="24" spans="1:11" x14ac:dyDescent="0.3">
      <c r="A24" t="s">
        <v>523</v>
      </c>
      <c r="B24" t="s">
        <v>2</v>
      </c>
      <c r="C24" t="s">
        <v>30</v>
      </c>
      <c r="D24" t="e">
        <f>#REF!</f>
        <v>#REF!</v>
      </c>
      <c r="E24" s="10" t="e" cm="1">
        <f t="array" ref="E24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4" s="6">
        <f>MB_A[[#This Row],[time value]]*MB_A[[#This Row],[multiplicator]]</f>
        <v>-133</v>
      </c>
      <c r="G24" s="11">
        <v>-1</v>
      </c>
      <c r="H24" s="3">
        <v>133</v>
      </c>
      <c r="I24" s="12" t="s">
        <v>202</v>
      </c>
      <c r="J24" s="2" t="s">
        <v>62</v>
      </c>
      <c r="K24" s="2" t="s">
        <v>11</v>
      </c>
    </row>
    <row r="25" spans="1:11" x14ac:dyDescent="0.3">
      <c r="A25" t="s">
        <v>523</v>
      </c>
      <c r="B25" t="s">
        <v>2</v>
      </c>
      <c r="C25" t="s">
        <v>30</v>
      </c>
      <c r="D25" t="e">
        <f>#REF!</f>
        <v>#REF!</v>
      </c>
      <c r="E25" s="10" t="e" cm="1">
        <f t="array" ref="E25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5" s="6">
        <f>MB_A[[#This Row],[time value]]*MB_A[[#This Row],[multiplicator]]</f>
        <v>-130</v>
      </c>
      <c r="G25" s="11">
        <v>-1</v>
      </c>
      <c r="H25" s="3">
        <v>130</v>
      </c>
      <c r="I25" s="12" t="s">
        <v>202</v>
      </c>
      <c r="J25" s="2" t="s">
        <v>63</v>
      </c>
      <c r="K25" s="2" t="s">
        <v>11</v>
      </c>
    </row>
    <row r="26" spans="1:11" x14ac:dyDescent="0.3">
      <c r="A26" t="s">
        <v>523</v>
      </c>
      <c r="B26" t="s">
        <v>2</v>
      </c>
      <c r="C26" t="s">
        <v>30</v>
      </c>
      <c r="D26" t="e">
        <f>#REF!</f>
        <v>#REF!</v>
      </c>
      <c r="E26" s="10" t="e" cm="1">
        <f t="array" ref="E26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6" s="6">
        <f>MB_A[[#This Row],[time value]]*MB_A[[#This Row],[multiplicator]]</f>
        <v>-125</v>
      </c>
      <c r="G26" s="11">
        <v>-1</v>
      </c>
      <c r="H26" s="3">
        <v>125</v>
      </c>
      <c r="I26" s="12" t="s">
        <v>202</v>
      </c>
      <c r="J26" s="2" t="s">
        <v>64</v>
      </c>
      <c r="K26" s="2" t="s">
        <v>11</v>
      </c>
    </row>
    <row r="27" spans="1:11" x14ac:dyDescent="0.3">
      <c r="A27" t="s">
        <v>523</v>
      </c>
      <c r="B27" t="s">
        <v>2</v>
      </c>
      <c r="C27" t="s">
        <v>30</v>
      </c>
      <c r="D27" t="e">
        <f>#REF!</f>
        <v>#REF!</v>
      </c>
      <c r="E27" s="10" t="e" cm="1">
        <f t="array" ref="E27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7" s="6">
        <f>MB_A[[#This Row],[time value]]*MB_A[[#This Row],[multiplicator]]</f>
        <v>-123</v>
      </c>
      <c r="G27" s="11">
        <v>-1</v>
      </c>
      <c r="H27" s="3">
        <v>123</v>
      </c>
      <c r="I27" s="12" t="s">
        <v>202</v>
      </c>
      <c r="J27" s="2" t="s">
        <v>65</v>
      </c>
      <c r="K27" s="2" t="s">
        <v>11</v>
      </c>
    </row>
    <row r="28" spans="1:11" x14ac:dyDescent="0.3">
      <c r="A28" t="s">
        <v>523</v>
      </c>
      <c r="B28" t="s">
        <v>2</v>
      </c>
      <c r="C28" t="s">
        <v>30</v>
      </c>
      <c r="D28" t="e">
        <f>#REF!</f>
        <v>#REF!</v>
      </c>
      <c r="E28" s="10" t="e" cm="1">
        <f t="array" ref="E28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8" s="6">
        <f>MB_A[[#This Row],[time value]]*MB_A[[#This Row],[multiplicator]]</f>
        <v>-121</v>
      </c>
      <c r="G28" s="11">
        <v>-1</v>
      </c>
      <c r="H28" s="3">
        <v>121</v>
      </c>
      <c r="I28" s="12" t="s">
        <v>202</v>
      </c>
      <c r="J28" s="2" t="s">
        <v>66</v>
      </c>
      <c r="K28" s="2" t="s">
        <v>42</v>
      </c>
    </row>
    <row r="29" spans="1:11" x14ac:dyDescent="0.3">
      <c r="A29" t="s">
        <v>523</v>
      </c>
      <c r="B29" t="s">
        <v>2</v>
      </c>
      <c r="C29" t="s">
        <v>30</v>
      </c>
      <c r="D29" t="e">
        <f>#REF!</f>
        <v>#REF!</v>
      </c>
      <c r="E29" s="10" t="e" cm="1">
        <f t="array" ref="E29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29" s="6">
        <f>MB_A[[#This Row],[time value]]*MB_A[[#This Row],[multiplicator]]</f>
        <v>-120</v>
      </c>
      <c r="G29" s="11">
        <v>-1</v>
      </c>
      <c r="H29" s="3">
        <v>120</v>
      </c>
      <c r="I29" s="12" t="s">
        <v>202</v>
      </c>
      <c r="J29" s="2" t="s">
        <v>67</v>
      </c>
      <c r="K29" s="2" t="s">
        <v>11</v>
      </c>
    </row>
    <row r="30" spans="1:11" x14ac:dyDescent="0.3">
      <c r="A30" t="s">
        <v>523</v>
      </c>
      <c r="B30" t="s">
        <v>2</v>
      </c>
      <c r="C30" t="s">
        <v>30</v>
      </c>
      <c r="D30" t="e">
        <f>#REF!</f>
        <v>#REF!</v>
      </c>
      <c r="E30" s="10" t="e" cm="1">
        <f t="array" ref="E30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0" s="6">
        <f>MB_A[[#This Row],[time value]]*MB_A[[#This Row],[multiplicator]]</f>
        <v>-115</v>
      </c>
      <c r="G30" s="11">
        <v>-1</v>
      </c>
      <c r="H30" s="3">
        <v>115</v>
      </c>
      <c r="I30" s="12" t="s">
        <v>202</v>
      </c>
      <c r="J30" s="2" t="s">
        <v>68</v>
      </c>
      <c r="K30" s="2" t="s">
        <v>11</v>
      </c>
    </row>
    <row r="31" spans="1:11" x14ac:dyDescent="0.3">
      <c r="A31" t="s">
        <v>523</v>
      </c>
      <c r="B31" t="s">
        <v>2</v>
      </c>
      <c r="C31" t="s">
        <v>30</v>
      </c>
      <c r="D31" t="e">
        <f>#REF!</f>
        <v>#REF!</v>
      </c>
      <c r="E31" s="10" t="e" cm="1">
        <f t="array" ref="E31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1" s="6">
        <f>MB_A[[#This Row],[time value]]*MB_A[[#This Row],[multiplicator]]</f>
        <v>-113</v>
      </c>
      <c r="G31" s="11">
        <v>-1</v>
      </c>
      <c r="H31" s="3">
        <v>113</v>
      </c>
      <c r="I31" s="12" t="s">
        <v>202</v>
      </c>
      <c r="J31" s="2" t="s">
        <v>69</v>
      </c>
      <c r="K31" s="2" t="s">
        <v>11</v>
      </c>
    </row>
    <row r="32" spans="1:11" x14ac:dyDescent="0.3">
      <c r="A32" t="s">
        <v>523</v>
      </c>
      <c r="B32" t="s">
        <v>2</v>
      </c>
      <c r="C32" t="s">
        <v>30</v>
      </c>
      <c r="D32" t="e">
        <f>#REF!</f>
        <v>#REF!</v>
      </c>
      <c r="E32" s="10" t="e" cm="1">
        <f t="array" ref="E32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2" s="6">
        <f>MB_A[[#This Row],[time value]]*MB_A[[#This Row],[multiplicator]]</f>
        <v>-110</v>
      </c>
      <c r="G32" s="11">
        <v>-1</v>
      </c>
      <c r="H32" s="3">
        <v>110</v>
      </c>
      <c r="I32" s="12" t="s">
        <v>202</v>
      </c>
      <c r="J32" s="2" t="s">
        <v>71</v>
      </c>
      <c r="K32" s="2" t="s">
        <v>11</v>
      </c>
    </row>
    <row r="33" spans="1:11" x14ac:dyDescent="0.3">
      <c r="A33" t="s">
        <v>523</v>
      </c>
      <c r="B33" t="s">
        <v>2</v>
      </c>
      <c r="C33" t="s">
        <v>30</v>
      </c>
      <c r="D33" t="e">
        <f>#REF!</f>
        <v>#REF!</v>
      </c>
      <c r="E33" s="10" t="e" cm="1">
        <f t="array" ref="E33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3" s="6">
        <f>MB_A[[#This Row],[time value]]*MB_A[[#This Row],[multiplicator]]</f>
        <v>-105</v>
      </c>
      <c r="G33" s="11">
        <v>-1</v>
      </c>
      <c r="H33" s="3">
        <v>105</v>
      </c>
      <c r="I33" s="12" t="s">
        <v>202</v>
      </c>
      <c r="J33" s="2" t="s">
        <v>74</v>
      </c>
      <c r="K33" s="2" t="s">
        <v>11</v>
      </c>
    </row>
    <row r="34" spans="1:11" x14ac:dyDescent="0.3">
      <c r="A34" t="s">
        <v>523</v>
      </c>
      <c r="B34" t="s">
        <v>2</v>
      </c>
      <c r="C34" t="s">
        <v>30</v>
      </c>
      <c r="D34" t="e">
        <f>#REF!</f>
        <v>#REF!</v>
      </c>
      <c r="E34" s="10" t="e" cm="1">
        <f t="array" ref="E34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4" s="6">
        <f>MB_A[[#This Row],[time value]]*MB_A[[#This Row],[multiplicator]]</f>
        <v>-103</v>
      </c>
      <c r="G34" s="11">
        <v>-1</v>
      </c>
      <c r="H34" s="3">
        <v>103</v>
      </c>
      <c r="I34" s="12" t="s">
        <v>202</v>
      </c>
      <c r="J34" s="2" t="s">
        <v>75</v>
      </c>
      <c r="K34" s="2" t="s">
        <v>11</v>
      </c>
    </row>
    <row r="35" spans="1:11" x14ac:dyDescent="0.3">
      <c r="A35" t="s">
        <v>523</v>
      </c>
      <c r="B35" t="s">
        <v>2</v>
      </c>
      <c r="C35" t="s">
        <v>30</v>
      </c>
      <c r="D35" t="e">
        <f>#REF!</f>
        <v>#REF!</v>
      </c>
      <c r="E35" s="10" t="e" cm="1">
        <f t="array" ref="E35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5" s="6">
        <f>MB_A[[#This Row],[time value]]*MB_A[[#This Row],[multiplicator]]</f>
        <v>-101</v>
      </c>
      <c r="G35" s="11">
        <v>-1</v>
      </c>
      <c r="H35" s="3">
        <v>101</v>
      </c>
      <c r="I35" s="12" t="s">
        <v>202</v>
      </c>
      <c r="J35" s="2" t="s">
        <v>76</v>
      </c>
      <c r="K35" s="2" t="s">
        <v>42</v>
      </c>
    </row>
    <row r="36" spans="1:11" x14ac:dyDescent="0.3">
      <c r="A36" t="s">
        <v>523</v>
      </c>
      <c r="B36" t="s">
        <v>2</v>
      </c>
      <c r="C36" t="s">
        <v>30</v>
      </c>
      <c r="D36" t="e">
        <f>#REF!</f>
        <v>#REF!</v>
      </c>
      <c r="E36" s="10" t="e" cm="1">
        <f t="array" ref="E36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6" s="6">
        <f>MB_A[[#This Row],[time value]]*MB_A[[#This Row],[multiplicator]]</f>
        <v>-100</v>
      </c>
      <c r="G36" s="11">
        <v>-1</v>
      </c>
      <c r="H36" s="3">
        <v>100</v>
      </c>
      <c r="I36" s="12" t="s">
        <v>202</v>
      </c>
      <c r="J36" s="2" t="s">
        <v>78</v>
      </c>
      <c r="K36" s="2" t="s">
        <v>11</v>
      </c>
    </row>
    <row r="37" spans="1:11" x14ac:dyDescent="0.3">
      <c r="A37" t="s">
        <v>523</v>
      </c>
      <c r="B37" t="s">
        <v>2</v>
      </c>
      <c r="C37" t="s">
        <v>30</v>
      </c>
      <c r="D37" t="e">
        <f>#REF!</f>
        <v>#REF!</v>
      </c>
      <c r="E37" s="10" t="e" cm="1">
        <f t="array" ref="E37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7" s="6">
        <f>MB_A[[#This Row],[time value]]*MB_A[[#This Row],[multiplicator]]</f>
        <v>-95</v>
      </c>
      <c r="G37" s="11">
        <v>-1</v>
      </c>
      <c r="H37" s="3">
        <v>95</v>
      </c>
      <c r="I37" s="12" t="s">
        <v>202</v>
      </c>
      <c r="J37" s="2" t="s">
        <v>81</v>
      </c>
      <c r="K37" s="2" t="s">
        <v>11</v>
      </c>
    </row>
    <row r="38" spans="1:11" x14ac:dyDescent="0.3">
      <c r="A38" t="s">
        <v>523</v>
      </c>
      <c r="B38" t="s">
        <v>2</v>
      </c>
      <c r="C38" t="s">
        <v>30</v>
      </c>
      <c r="D38" t="e">
        <f>#REF!</f>
        <v>#REF!</v>
      </c>
      <c r="E38" s="10" t="e" cm="1">
        <f t="array" ref="E38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8" s="6">
        <f>MB_A[[#This Row],[time value]]*MB_A[[#This Row],[multiplicator]]</f>
        <v>-93</v>
      </c>
      <c r="G38" s="11">
        <v>-1</v>
      </c>
      <c r="H38" s="3">
        <v>93</v>
      </c>
      <c r="I38" s="12" t="s">
        <v>202</v>
      </c>
      <c r="J38" s="2" t="s">
        <v>83</v>
      </c>
      <c r="K38" s="2" t="s">
        <v>11</v>
      </c>
    </row>
    <row r="39" spans="1:11" x14ac:dyDescent="0.3">
      <c r="A39" t="s">
        <v>523</v>
      </c>
      <c r="B39" t="s">
        <v>2</v>
      </c>
      <c r="C39" t="s">
        <v>30</v>
      </c>
      <c r="D39" t="e">
        <f>#REF!</f>
        <v>#REF!</v>
      </c>
      <c r="E39" s="10" t="e" cm="1">
        <f t="array" ref="E39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39" s="6">
        <f>MB_A[[#This Row],[time value]]*MB_A[[#This Row],[multiplicator]]</f>
        <v>-90</v>
      </c>
      <c r="G39" s="11">
        <v>-1</v>
      </c>
      <c r="H39" s="3">
        <v>90</v>
      </c>
      <c r="I39" s="12" t="s">
        <v>202</v>
      </c>
      <c r="J39" s="2" t="s">
        <v>85</v>
      </c>
      <c r="K39" s="2" t="s">
        <v>11</v>
      </c>
    </row>
    <row r="40" spans="1:11" x14ac:dyDescent="0.3">
      <c r="A40" t="s">
        <v>523</v>
      </c>
      <c r="B40" t="s">
        <v>2</v>
      </c>
      <c r="C40" t="s">
        <v>30</v>
      </c>
      <c r="D40" t="e">
        <f>#REF!</f>
        <v>#REF!</v>
      </c>
      <c r="E40" s="10" t="e" cm="1">
        <f t="array" ref="E40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0" s="6">
        <f>MB_A[[#This Row],[time value]]*MB_A[[#This Row],[multiplicator]]</f>
        <v>-60</v>
      </c>
      <c r="G40" s="11">
        <v>-1</v>
      </c>
      <c r="H40" s="3">
        <v>60</v>
      </c>
      <c r="I40" s="12" t="s">
        <v>202</v>
      </c>
      <c r="J40" s="2" t="s">
        <v>95</v>
      </c>
      <c r="K40" s="2" t="s">
        <v>11</v>
      </c>
    </row>
    <row r="41" spans="1:11" x14ac:dyDescent="0.3">
      <c r="A41" t="s">
        <v>523</v>
      </c>
      <c r="B41" t="s">
        <v>2</v>
      </c>
      <c r="C41" t="s">
        <v>30</v>
      </c>
      <c r="D41" t="e">
        <f>#REF!</f>
        <v>#REF!</v>
      </c>
      <c r="E41" s="10" t="e" cm="1">
        <f t="array" ref="E41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1" s="6">
        <f>MB_A[[#This Row],[time value]]*MB_A[[#This Row],[multiplicator]]</f>
        <v>0</v>
      </c>
      <c r="G41" s="3">
        <v>1</v>
      </c>
      <c r="H41" s="3">
        <v>0</v>
      </c>
      <c r="I41" s="12" t="s">
        <v>202</v>
      </c>
      <c r="J41" s="2" t="s">
        <v>125</v>
      </c>
      <c r="K41" s="2"/>
    </row>
    <row r="42" spans="1:11" x14ac:dyDescent="0.3">
      <c r="A42" t="s">
        <v>523</v>
      </c>
      <c r="B42" t="s">
        <v>2</v>
      </c>
      <c r="C42" t="s">
        <v>30</v>
      </c>
      <c r="D42" t="e">
        <f>#REF!</f>
        <v>#REF!</v>
      </c>
      <c r="E42" s="10" t="e" cm="1">
        <f t="array" ref="E42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2" s="6">
        <f>MB_A[[#This Row],[time value]]*MB_A[[#This Row],[multiplicator]]</f>
        <v>0</v>
      </c>
      <c r="G42" s="3">
        <v>1</v>
      </c>
      <c r="H42" s="3">
        <v>0</v>
      </c>
      <c r="I42" s="12" t="s">
        <v>202</v>
      </c>
      <c r="J42" s="2" t="s">
        <v>132</v>
      </c>
      <c r="K42" s="2" t="s">
        <v>131</v>
      </c>
    </row>
    <row r="43" spans="1:11" x14ac:dyDescent="0.3">
      <c r="A43" t="s">
        <v>523</v>
      </c>
      <c r="B43" t="s">
        <v>2</v>
      </c>
      <c r="C43" t="s">
        <v>30</v>
      </c>
      <c r="D43" t="e">
        <f>#REF!</f>
        <v>#REF!</v>
      </c>
      <c r="E43" s="10" t="e" cm="1">
        <f t="array" ref="E43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3" s="6">
        <f>MB_A[[#This Row],[time value]]*MB_A[[#This Row],[multiplicator]]</f>
        <v>45</v>
      </c>
      <c r="G43" s="3">
        <v>1</v>
      </c>
      <c r="H43" s="3">
        <v>45</v>
      </c>
      <c r="I43" s="12" t="s">
        <v>202</v>
      </c>
      <c r="J43" s="2" t="s">
        <v>139</v>
      </c>
      <c r="K43" s="2"/>
    </row>
    <row r="44" spans="1:11" x14ac:dyDescent="0.3">
      <c r="A44" t="s">
        <v>523</v>
      </c>
      <c r="B44" t="s">
        <v>2</v>
      </c>
      <c r="C44" t="s">
        <v>30</v>
      </c>
      <c r="D44" t="e">
        <f>#REF!</f>
        <v>#REF!</v>
      </c>
      <c r="E44" s="10" t="e" cm="1">
        <f t="array" ref="E44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4" s="6">
        <f>MB_A[[#This Row],[time value]]*MB_A[[#This Row],[multiplicator]]</f>
        <v>60</v>
      </c>
      <c r="G44" s="3">
        <v>1</v>
      </c>
      <c r="H44" s="3">
        <v>60</v>
      </c>
      <c r="I44" s="12" t="s">
        <v>202</v>
      </c>
      <c r="J44" s="2" t="s">
        <v>132</v>
      </c>
      <c r="K44" s="2" t="s">
        <v>131</v>
      </c>
    </row>
    <row r="45" spans="1:11" x14ac:dyDescent="0.3">
      <c r="A45" t="s">
        <v>523</v>
      </c>
      <c r="B45" t="s">
        <v>2</v>
      </c>
      <c r="C45" t="s">
        <v>30</v>
      </c>
      <c r="D45" t="e">
        <f>#REF!</f>
        <v>#REF!</v>
      </c>
      <c r="E45" s="10" t="e" cm="1">
        <f t="array" ref="E45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5" s="6">
        <f>MB_A[[#This Row],[time value]]*MB_A[[#This Row],[multiplicator]]</f>
        <v>0</v>
      </c>
      <c r="G45" s="3">
        <v>1</v>
      </c>
      <c r="H45" s="3"/>
      <c r="I45" s="14" t="s">
        <v>494</v>
      </c>
      <c r="J45" s="2" t="s">
        <v>143</v>
      </c>
      <c r="K45" s="2"/>
    </row>
    <row r="46" spans="1:11" x14ac:dyDescent="0.3">
      <c r="A46" t="s">
        <v>523</v>
      </c>
      <c r="B46" t="s">
        <v>2</v>
      </c>
      <c r="C46" t="s">
        <v>30</v>
      </c>
      <c r="D46" t="e">
        <f>#REF!</f>
        <v>#REF!</v>
      </c>
      <c r="E46" s="10" t="e" cm="1">
        <f t="array" ref="E46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6" s="6">
        <f>MB_A[[#This Row],[time value]]*MB_A[[#This Row],[multiplicator]]</f>
        <v>15</v>
      </c>
      <c r="G46" s="11">
        <v>1</v>
      </c>
      <c r="H46" s="3">
        <v>15</v>
      </c>
      <c r="I46" s="12" t="s">
        <v>494</v>
      </c>
      <c r="J46" s="2" t="s">
        <v>148</v>
      </c>
      <c r="K46" s="2" t="s">
        <v>11</v>
      </c>
    </row>
    <row r="47" spans="1:11" x14ac:dyDescent="0.3">
      <c r="A47" t="s">
        <v>523</v>
      </c>
      <c r="B47" t="s">
        <v>2</v>
      </c>
      <c r="C47" t="s">
        <v>30</v>
      </c>
      <c r="D47" t="e">
        <f>#REF!</f>
        <v>#REF!</v>
      </c>
      <c r="E47" s="10" t="e" cm="1">
        <f t="array" ref="E47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7" s="6">
        <f>MB_A[[#This Row],[time value]]*MB_A[[#This Row],[multiplicator]]</f>
        <v>20</v>
      </c>
      <c r="G47" s="11">
        <v>1</v>
      </c>
      <c r="H47" s="3">
        <v>20</v>
      </c>
      <c r="I47" s="11" t="s">
        <v>494</v>
      </c>
      <c r="J47" s="2" t="s">
        <v>153</v>
      </c>
      <c r="K47" s="2" t="s">
        <v>11</v>
      </c>
    </row>
    <row r="48" spans="1:11" x14ac:dyDescent="0.3">
      <c r="A48" t="s">
        <v>523</v>
      </c>
      <c r="B48" t="s">
        <v>2</v>
      </c>
      <c r="C48" t="s">
        <v>30</v>
      </c>
      <c r="D48" t="e">
        <f>#REF!</f>
        <v>#REF!</v>
      </c>
      <c r="E48" s="10" t="e" cm="1">
        <f t="array" ref="E48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8" s="6">
        <f>MB_A[[#This Row],[time value]]*MB_A[[#This Row],[multiplicator]]</f>
        <v>25</v>
      </c>
      <c r="G48" s="11">
        <v>1</v>
      </c>
      <c r="H48" s="3">
        <v>25</v>
      </c>
      <c r="I48" s="11" t="s">
        <v>494</v>
      </c>
      <c r="J48" s="2" t="s">
        <v>155</v>
      </c>
      <c r="K48" s="2" t="s">
        <v>11</v>
      </c>
    </row>
    <row r="49" spans="1:11" x14ac:dyDescent="0.3">
      <c r="A49" t="s">
        <v>523</v>
      </c>
      <c r="B49" t="s">
        <v>2</v>
      </c>
      <c r="C49" t="s">
        <v>30</v>
      </c>
      <c r="D49" t="e">
        <f>#REF!</f>
        <v>#REF!</v>
      </c>
      <c r="E49" s="10" t="e" cm="1">
        <f t="array" ref="E49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49" s="6">
        <f>MB_A[[#This Row],[time value]]*MB_A[[#This Row],[multiplicator]]</f>
        <v>30</v>
      </c>
      <c r="G49" s="11">
        <v>1</v>
      </c>
      <c r="H49" s="3">
        <v>30</v>
      </c>
      <c r="I49" s="11" t="s">
        <v>494</v>
      </c>
      <c r="J49" s="2" t="s">
        <v>158</v>
      </c>
      <c r="K49" s="2" t="s">
        <v>11</v>
      </c>
    </row>
    <row r="50" spans="1:11" x14ac:dyDescent="0.3">
      <c r="A50" t="s">
        <v>523</v>
      </c>
      <c r="B50" t="s">
        <v>2</v>
      </c>
      <c r="C50" t="s">
        <v>30</v>
      </c>
      <c r="D50" t="e">
        <f>#REF!</f>
        <v>#REF!</v>
      </c>
      <c r="E50" s="10" t="e" cm="1">
        <f t="array" ref="E50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0" s="6">
        <f>MB_A[[#This Row],[time value]]*MB_A[[#This Row],[multiplicator]]</f>
        <v>35</v>
      </c>
      <c r="G50" s="11">
        <v>1</v>
      </c>
      <c r="H50" s="3">
        <v>35</v>
      </c>
      <c r="I50" s="11" t="s">
        <v>494</v>
      </c>
      <c r="J50" s="2" t="s">
        <v>161</v>
      </c>
      <c r="K50" s="2" t="s">
        <v>11</v>
      </c>
    </row>
    <row r="51" spans="1:11" x14ac:dyDescent="0.3">
      <c r="A51" t="s">
        <v>523</v>
      </c>
      <c r="B51" t="s">
        <v>2</v>
      </c>
      <c r="C51" t="s">
        <v>30</v>
      </c>
      <c r="D51" t="e">
        <f>#REF!</f>
        <v>#REF!</v>
      </c>
      <c r="E51" s="10" t="e" cm="1">
        <f t="array" ref="E51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1" s="6">
        <f>MB_A[[#This Row],[time value]]*MB_A[[#This Row],[multiplicator]]</f>
        <v>20</v>
      </c>
      <c r="G51" s="11">
        <v>1</v>
      </c>
      <c r="H51" s="3">
        <v>20</v>
      </c>
      <c r="I51" s="11" t="s">
        <v>494</v>
      </c>
      <c r="J51" s="2" t="s">
        <v>154</v>
      </c>
      <c r="K51" s="2" t="s">
        <v>11</v>
      </c>
    </row>
    <row r="52" spans="1:11" x14ac:dyDescent="0.3">
      <c r="A52" t="s">
        <v>523</v>
      </c>
      <c r="B52" t="s">
        <v>2</v>
      </c>
      <c r="C52" t="s">
        <v>30</v>
      </c>
      <c r="D52" t="e">
        <f>#REF!</f>
        <v>#REF!</v>
      </c>
      <c r="E52" s="10" t="e" cm="1">
        <f t="array" ref="E52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2" s="6">
        <f>MB_A[[#This Row],[time value]]*MB_A[[#This Row],[multiplicator]]</f>
        <v>25</v>
      </c>
      <c r="G52" s="11">
        <v>1</v>
      </c>
      <c r="H52" s="3">
        <v>25</v>
      </c>
      <c r="I52" s="11" t="s">
        <v>494</v>
      </c>
      <c r="J52" s="2" t="s">
        <v>156</v>
      </c>
      <c r="K52" s="2" t="s">
        <v>11</v>
      </c>
    </row>
    <row r="53" spans="1:11" x14ac:dyDescent="0.3">
      <c r="A53" t="s">
        <v>523</v>
      </c>
      <c r="B53" t="s">
        <v>2</v>
      </c>
      <c r="C53" t="s">
        <v>30</v>
      </c>
      <c r="D53" t="e">
        <f>#REF!</f>
        <v>#REF!</v>
      </c>
      <c r="E53" s="10" t="e" cm="1">
        <f t="array" ref="E53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3" s="6">
        <f>MB_A[[#This Row],[time value]]*MB_A[[#This Row],[multiplicator]]</f>
        <v>30</v>
      </c>
      <c r="G53" s="11">
        <v>1</v>
      </c>
      <c r="H53" s="3">
        <v>30</v>
      </c>
      <c r="I53" s="11" t="s">
        <v>494</v>
      </c>
      <c r="J53" s="2" t="s">
        <v>159</v>
      </c>
      <c r="K53" s="2" t="s">
        <v>11</v>
      </c>
    </row>
    <row r="54" spans="1:11" x14ac:dyDescent="0.3">
      <c r="A54" t="s">
        <v>523</v>
      </c>
      <c r="B54" t="s">
        <v>2</v>
      </c>
      <c r="C54" t="s">
        <v>30</v>
      </c>
      <c r="D54" t="e">
        <f>#REF!</f>
        <v>#REF!</v>
      </c>
      <c r="E54" s="10" t="e" cm="1">
        <f t="array" ref="E54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4" s="6">
        <f>MB_A[[#This Row],[time value]]*MB_A[[#This Row],[multiplicator]]</f>
        <v>35</v>
      </c>
      <c r="G54" s="11">
        <v>1</v>
      </c>
      <c r="H54" s="3">
        <v>35</v>
      </c>
      <c r="I54" s="11" t="s">
        <v>494</v>
      </c>
      <c r="J54" s="2" t="s">
        <v>162</v>
      </c>
      <c r="K54" s="2" t="s">
        <v>11</v>
      </c>
    </row>
    <row r="55" spans="1:11" x14ac:dyDescent="0.3">
      <c r="A55" t="s">
        <v>523</v>
      </c>
      <c r="B55" t="s">
        <v>2</v>
      </c>
      <c r="C55" t="s">
        <v>30</v>
      </c>
      <c r="D55" t="e">
        <f>#REF!</f>
        <v>#REF!</v>
      </c>
      <c r="E55" s="10" t="e" cm="1">
        <f t="array" ref="E55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5" s="6">
        <f>MB_A[[#This Row],[time value]]*MB_A[[#This Row],[multiplicator]]</f>
        <v>40</v>
      </c>
      <c r="G55" s="11">
        <v>1</v>
      </c>
      <c r="H55" s="3">
        <v>40</v>
      </c>
      <c r="I55" s="11" t="s">
        <v>494</v>
      </c>
      <c r="J55" s="2" t="s">
        <v>165</v>
      </c>
      <c r="K55" s="2" t="s">
        <v>11</v>
      </c>
    </row>
    <row r="56" spans="1:11" x14ac:dyDescent="0.3">
      <c r="A56" t="s">
        <v>523</v>
      </c>
      <c r="B56" t="s">
        <v>2</v>
      </c>
      <c r="C56" t="s">
        <v>30</v>
      </c>
      <c r="D56" t="e">
        <f>#REF!</f>
        <v>#REF!</v>
      </c>
      <c r="E56" s="10" t="e" cm="1">
        <f t="array" ref="E56">_xlfn.IFS(MB_A[[#This Row],[reference wisle]]="KO",#REF!+(MB_A[[#This Row],[Time to KO]]/1440),MB_A[[#This Row],[reference wisle]]="FW",#REF!+(MB_A[[#This Row],[Time to KO]]/1440),MB_A[[#This Row],[reference wisle]]="EOD","End of Day")</f>
        <v>#REF!</v>
      </c>
      <c r="F56" s="6">
        <f>MB_A[[#This Row],[time value]]*MB_A[[#This Row],[multiplicator]]</f>
        <v>45</v>
      </c>
      <c r="G56" s="11">
        <v>1</v>
      </c>
      <c r="H56" s="3">
        <v>45</v>
      </c>
      <c r="I56" s="11" t="s">
        <v>494</v>
      </c>
      <c r="J56" s="2" t="s">
        <v>167</v>
      </c>
      <c r="K56" s="2" t="s">
        <v>42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03FC-0AB8-48DF-8297-17EC34DA659E}">
  <sheetPr>
    <tabColor theme="2" tint="-9.9978637043366805E-2"/>
  </sheetPr>
  <dimension ref="A1:K56"/>
  <sheetViews>
    <sheetView workbookViewId="0">
      <selection activeCell="H2" sqref="H2"/>
    </sheetView>
  </sheetViews>
  <sheetFormatPr defaultColWidth="11" defaultRowHeight="15.6" x14ac:dyDescent="0.3"/>
  <cols>
    <col min="1" max="1" width="12.5" bestFit="1" customWidth="1"/>
    <col min="2" max="4" width="12.5" customWidth="1"/>
    <col min="5" max="5" width="12.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523</v>
      </c>
      <c r="B2" t="s">
        <v>2</v>
      </c>
      <c r="C2" t="s">
        <v>91</v>
      </c>
      <c r="D2" t="e">
        <f>#REF!</f>
        <v>#REF!</v>
      </c>
      <c r="E2" s="10" t="e" cm="1">
        <f t="array" ref="E2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" s="6">
        <f>MB_B[[#This Row],[time value]]*MB_B[[#This Row],[multiplicator]]</f>
        <v>-195</v>
      </c>
      <c r="G2" s="11">
        <v>-1</v>
      </c>
      <c r="H2" s="11">
        <v>195</v>
      </c>
      <c r="I2" s="12" t="s">
        <v>202</v>
      </c>
      <c r="J2" s="2" t="s">
        <v>35</v>
      </c>
      <c r="K2" s="2" t="s">
        <v>11</v>
      </c>
    </row>
    <row r="3" spans="1:11" ht="46.8" x14ac:dyDescent="0.3">
      <c r="A3" t="s">
        <v>523</v>
      </c>
      <c r="B3" t="s">
        <v>2</v>
      </c>
      <c r="C3" t="s">
        <v>91</v>
      </c>
      <c r="D3" t="e">
        <f>#REF!</f>
        <v>#REF!</v>
      </c>
      <c r="E3" s="10" t="e" cm="1">
        <f t="array" ref="E3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" s="6">
        <f>MB_B[[#This Row],[time value]]*MB_B[[#This Row],[multiplicator]]</f>
        <v>-190</v>
      </c>
      <c r="G3" s="11">
        <v>-1</v>
      </c>
      <c r="H3" s="3">
        <v>190</v>
      </c>
      <c r="I3" s="12" t="s">
        <v>202</v>
      </c>
      <c r="J3" s="22" t="s">
        <v>36</v>
      </c>
      <c r="K3" s="2" t="s">
        <v>37</v>
      </c>
    </row>
    <row r="4" spans="1:11" x14ac:dyDescent="0.3">
      <c r="A4" t="s">
        <v>523</v>
      </c>
      <c r="B4" t="s">
        <v>2</v>
      </c>
      <c r="C4" t="s">
        <v>91</v>
      </c>
      <c r="D4" t="e">
        <f>#REF!</f>
        <v>#REF!</v>
      </c>
      <c r="E4" s="10" t="e" cm="1">
        <f t="array" ref="E4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" s="6">
        <f>MB_B[[#This Row],[time value]]*MB_B[[#This Row],[multiplicator]]</f>
        <v>-190</v>
      </c>
      <c r="G4" s="11">
        <v>-1</v>
      </c>
      <c r="H4" s="3">
        <v>190</v>
      </c>
      <c r="I4" s="12" t="s">
        <v>202</v>
      </c>
      <c r="J4" s="2" t="s">
        <v>38</v>
      </c>
      <c r="K4" s="2" t="s">
        <v>11</v>
      </c>
    </row>
    <row r="5" spans="1:11" x14ac:dyDescent="0.3">
      <c r="A5" t="s">
        <v>523</v>
      </c>
      <c r="B5" t="s">
        <v>2</v>
      </c>
      <c r="C5" t="s">
        <v>91</v>
      </c>
      <c r="D5" t="e">
        <f>#REF!</f>
        <v>#REF!</v>
      </c>
      <c r="E5" s="10" t="e" cm="1">
        <f t="array" ref="E5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" s="6">
        <f>MB_B[[#This Row],[time value]]*MB_B[[#This Row],[multiplicator]]</f>
        <v>-185</v>
      </c>
      <c r="G5" s="11">
        <v>-1</v>
      </c>
      <c r="H5" s="3">
        <v>185</v>
      </c>
      <c r="I5" s="12" t="s">
        <v>202</v>
      </c>
      <c r="J5" s="2" t="s">
        <v>39</v>
      </c>
      <c r="K5" s="2" t="s">
        <v>11</v>
      </c>
    </row>
    <row r="6" spans="1:11" x14ac:dyDescent="0.3">
      <c r="A6" t="s">
        <v>523</v>
      </c>
      <c r="B6" t="s">
        <v>2</v>
      </c>
      <c r="C6" t="s">
        <v>91</v>
      </c>
      <c r="D6" t="e">
        <f>#REF!</f>
        <v>#REF!</v>
      </c>
      <c r="E6" s="10" t="e" cm="1">
        <f t="array" ref="E6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6" s="6">
        <f>MB_B[[#This Row],[time value]]*MB_B[[#This Row],[multiplicator]]</f>
        <v>-183</v>
      </c>
      <c r="G6" s="11">
        <v>-1</v>
      </c>
      <c r="H6" s="3">
        <v>183</v>
      </c>
      <c r="I6" s="12" t="s">
        <v>202</v>
      </c>
      <c r="J6" s="2" t="s">
        <v>40</v>
      </c>
      <c r="K6" s="2" t="s">
        <v>11</v>
      </c>
    </row>
    <row r="7" spans="1:11" x14ac:dyDescent="0.3">
      <c r="A7" t="s">
        <v>523</v>
      </c>
      <c r="B7" t="s">
        <v>2</v>
      </c>
      <c r="C7" t="s">
        <v>91</v>
      </c>
      <c r="D7" t="e">
        <f>#REF!</f>
        <v>#REF!</v>
      </c>
      <c r="E7" s="10" t="e" cm="1">
        <f t="array" ref="E7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7" s="6">
        <f>MB_B[[#This Row],[time value]]*MB_B[[#This Row],[multiplicator]]</f>
        <v>-181</v>
      </c>
      <c r="G7" s="11">
        <v>-1</v>
      </c>
      <c r="H7" s="3">
        <v>181</v>
      </c>
      <c r="I7" s="12" t="s">
        <v>202</v>
      </c>
      <c r="J7" s="2" t="s">
        <v>41</v>
      </c>
      <c r="K7" s="2" t="s">
        <v>42</v>
      </c>
    </row>
    <row r="8" spans="1:11" x14ac:dyDescent="0.3">
      <c r="A8" t="s">
        <v>523</v>
      </c>
      <c r="B8" t="s">
        <v>2</v>
      </c>
      <c r="C8" t="s">
        <v>91</v>
      </c>
      <c r="D8" t="e">
        <f>#REF!</f>
        <v>#REF!</v>
      </c>
      <c r="E8" s="10" t="e" cm="1">
        <f t="array" ref="E8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8" s="6">
        <f>MB_B[[#This Row],[time value]]*MB_B[[#This Row],[multiplicator]]</f>
        <v>-180</v>
      </c>
      <c r="G8" s="11">
        <v>-1</v>
      </c>
      <c r="H8" s="3">
        <v>180</v>
      </c>
      <c r="I8" s="12" t="s">
        <v>202</v>
      </c>
      <c r="J8" s="2" t="s">
        <v>43</v>
      </c>
      <c r="K8" s="2" t="s">
        <v>11</v>
      </c>
    </row>
    <row r="9" spans="1:11" x14ac:dyDescent="0.3">
      <c r="A9" t="s">
        <v>523</v>
      </c>
      <c r="B9" t="s">
        <v>2</v>
      </c>
      <c r="C9" t="s">
        <v>91</v>
      </c>
      <c r="D9" t="e">
        <f>#REF!</f>
        <v>#REF!</v>
      </c>
      <c r="E9" s="10" t="e" cm="1">
        <f t="array" ref="E9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9" s="6">
        <f>MB_B[[#This Row],[time value]]*MB_B[[#This Row],[multiplicator]]</f>
        <v>-175</v>
      </c>
      <c r="G9" s="11">
        <v>-1</v>
      </c>
      <c r="H9" s="3">
        <v>175</v>
      </c>
      <c r="I9" s="12" t="s">
        <v>202</v>
      </c>
      <c r="J9" s="2" t="s">
        <v>44</v>
      </c>
      <c r="K9" s="2" t="s">
        <v>11</v>
      </c>
    </row>
    <row r="10" spans="1:11" x14ac:dyDescent="0.3">
      <c r="A10" t="s">
        <v>523</v>
      </c>
      <c r="B10" t="s">
        <v>2</v>
      </c>
      <c r="C10" t="s">
        <v>91</v>
      </c>
      <c r="D10" t="e">
        <f>#REF!</f>
        <v>#REF!</v>
      </c>
      <c r="E10" s="10" t="e" cm="1">
        <f t="array" ref="E10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0" s="6">
        <f>MB_B[[#This Row],[time value]]*MB_B[[#This Row],[multiplicator]]</f>
        <v>-173</v>
      </c>
      <c r="G10" s="11">
        <v>-1</v>
      </c>
      <c r="H10" s="3">
        <v>173</v>
      </c>
      <c r="I10" s="12" t="s">
        <v>202</v>
      </c>
      <c r="J10" s="2" t="s">
        <v>45</v>
      </c>
      <c r="K10" s="2" t="s">
        <v>11</v>
      </c>
    </row>
    <row r="11" spans="1:11" x14ac:dyDescent="0.3">
      <c r="A11" t="s">
        <v>523</v>
      </c>
      <c r="B11" t="s">
        <v>2</v>
      </c>
      <c r="C11" t="s">
        <v>91</v>
      </c>
      <c r="D11" t="e">
        <f>#REF!</f>
        <v>#REF!</v>
      </c>
      <c r="E11" s="10" t="e" cm="1">
        <f t="array" ref="E11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1" s="6">
        <f>MB_B[[#This Row],[time value]]*MB_B[[#This Row],[multiplicator]]</f>
        <v>-170</v>
      </c>
      <c r="G11" s="11">
        <v>-1</v>
      </c>
      <c r="H11" s="3">
        <v>170</v>
      </c>
      <c r="I11" s="12" t="s">
        <v>202</v>
      </c>
      <c r="J11" s="2" t="s">
        <v>46</v>
      </c>
      <c r="K11" s="2" t="s">
        <v>11</v>
      </c>
    </row>
    <row r="12" spans="1:11" x14ac:dyDescent="0.3">
      <c r="A12" t="s">
        <v>523</v>
      </c>
      <c r="B12" t="s">
        <v>2</v>
      </c>
      <c r="C12" t="s">
        <v>91</v>
      </c>
      <c r="D12" t="e">
        <f>#REF!</f>
        <v>#REF!</v>
      </c>
      <c r="E12" s="10" t="e" cm="1">
        <f t="array" ref="E12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2" s="6">
        <f>MB_B[[#This Row],[time value]]*MB_B[[#This Row],[multiplicator]]</f>
        <v>-165</v>
      </c>
      <c r="G12" s="11">
        <v>-1</v>
      </c>
      <c r="H12" s="3">
        <v>165</v>
      </c>
      <c r="I12" s="12" t="s">
        <v>202</v>
      </c>
      <c r="J12" s="2" t="s">
        <v>47</v>
      </c>
      <c r="K12" s="2" t="s">
        <v>11</v>
      </c>
    </row>
    <row r="13" spans="1:11" x14ac:dyDescent="0.3">
      <c r="A13" t="s">
        <v>523</v>
      </c>
      <c r="B13" t="s">
        <v>2</v>
      </c>
      <c r="C13" t="s">
        <v>91</v>
      </c>
      <c r="D13" t="e">
        <f>#REF!</f>
        <v>#REF!</v>
      </c>
      <c r="E13" s="10" t="e" cm="1">
        <f t="array" ref="E13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3" s="6">
        <f>MB_B[[#This Row],[time value]]*MB_B[[#This Row],[multiplicator]]</f>
        <v>-163</v>
      </c>
      <c r="G13" s="11">
        <v>-1</v>
      </c>
      <c r="H13" s="3">
        <v>163</v>
      </c>
      <c r="I13" s="12" t="s">
        <v>202</v>
      </c>
      <c r="J13" s="2" t="s">
        <v>48</v>
      </c>
      <c r="K13" s="2" t="s">
        <v>11</v>
      </c>
    </row>
    <row r="14" spans="1:11" x14ac:dyDescent="0.3">
      <c r="A14" t="s">
        <v>523</v>
      </c>
      <c r="B14" t="s">
        <v>2</v>
      </c>
      <c r="C14" t="s">
        <v>91</v>
      </c>
      <c r="D14" t="e">
        <f>#REF!</f>
        <v>#REF!</v>
      </c>
      <c r="E14" s="10" t="e" cm="1">
        <f t="array" ref="E14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4" s="6">
        <f>MB_B[[#This Row],[time value]]*MB_B[[#This Row],[multiplicator]]</f>
        <v>-161</v>
      </c>
      <c r="G14" s="11">
        <v>-1</v>
      </c>
      <c r="H14" s="3">
        <v>161</v>
      </c>
      <c r="I14" s="12" t="s">
        <v>202</v>
      </c>
      <c r="J14" s="2" t="s">
        <v>49</v>
      </c>
      <c r="K14" s="2" t="s">
        <v>42</v>
      </c>
    </row>
    <row r="15" spans="1:11" x14ac:dyDescent="0.3">
      <c r="A15" t="s">
        <v>523</v>
      </c>
      <c r="B15" t="s">
        <v>2</v>
      </c>
      <c r="C15" t="s">
        <v>91</v>
      </c>
      <c r="D15" t="e">
        <f>#REF!</f>
        <v>#REF!</v>
      </c>
      <c r="E15" s="10" t="e" cm="1">
        <f t="array" ref="E15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5" s="6">
        <f>MB_B[[#This Row],[time value]]*MB_B[[#This Row],[multiplicator]]</f>
        <v>-160</v>
      </c>
      <c r="G15" s="11">
        <v>-1</v>
      </c>
      <c r="H15" s="3">
        <v>160</v>
      </c>
      <c r="I15" s="12" t="s">
        <v>202</v>
      </c>
      <c r="J15" s="2" t="s">
        <v>50</v>
      </c>
      <c r="K15" s="2" t="s">
        <v>11</v>
      </c>
    </row>
    <row r="16" spans="1:11" x14ac:dyDescent="0.3">
      <c r="A16" t="s">
        <v>523</v>
      </c>
      <c r="B16" t="s">
        <v>2</v>
      </c>
      <c r="C16" t="s">
        <v>91</v>
      </c>
      <c r="D16" t="e">
        <f>#REF!</f>
        <v>#REF!</v>
      </c>
      <c r="E16" s="10" t="e" cm="1">
        <f t="array" ref="E16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6" s="6">
        <f>MB_B[[#This Row],[time value]]*MB_B[[#This Row],[multiplicator]]</f>
        <v>-155</v>
      </c>
      <c r="G16" s="11">
        <v>-1</v>
      </c>
      <c r="H16" s="3">
        <v>155</v>
      </c>
      <c r="I16" s="12" t="s">
        <v>202</v>
      </c>
      <c r="J16" s="2" t="s">
        <v>52</v>
      </c>
      <c r="K16" s="2" t="s">
        <v>11</v>
      </c>
    </row>
    <row r="17" spans="1:11" x14ac:dyDescent="0.3">
      <c r="A17" t="s">
        <v>523</v>
      </c>
      <c r="B17" t="s">
        <v>2</v>
      </c>
      <c r="C17" t="s">
        <v>91</v>
      </c>
      <c r="D17" t="e">
        <f>#REF!</f>
        <v>#REF!</v>
      </c>
      <c r="E17" s="10" t="e" cm="1">
        <f t="array" ref="E17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7" s="6">
        <f>MB_B[[#This Row],[time value]]*MB_B[[#This Row],[multiplicator]]</f>
        <v>-153</v>
      </c>
      <c r="G17" s="11">
        <v>-1</v>
      </c>
      <c r="H17" s="3">
        <v>153</v>
      </c>
      <c r="I17" s="12" t="s">
        <v>202</v>
      </c>
      <c r="J17" s="2" t="s">
        <v>53</v>
      </c>
      <c r="K17" s="2" t="s">
        <v>11</v>
      </c>
    </row>
    <row r="18" spans="1:11" x14ac:dyDescent="0.3">
      <c r="A18" t="s">
        <v>523</v>
      </c>
      <c r="B18" t="s">
        <v>2</v>
      </c>
      <c r="C18" t="s">
        <v>91</v>
      </c>
      <c r="D18" t="e">
        <f>#REF!</f>
        <v>#REF!</v>
      </c>
      <c r="E18" s="10" t="e" cm="1">
        <f t="array" ref="E18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8" s="6">
        <f>MB_B[[#This Row],[time value]]*MB_B[[#This Row],[multiplicator]]</f>
        <v>-150</v>
      </c>
      <c r="G18" s="11">
        <v>-1</v>
      </c>
      <c r="H18" s="3">
        <v>150</v>
      </c>
      <c r="I18" s="12" t="s">
        <v>202</v>
      </c>
      <c r="J18" s="2" t="s">
        <v>56</v>
      </c>
      <c r="K18" s="2" t="s">
        <v>11</v>
      </c>
    </row>
    <row r="19" spans="1:11" x14ac:dyDescent="0.3">
      <c r="A19" t="s">
        <v>523</v>
      </c>
      <c r="B19" t="s">
        <v>2</v>
      </c>
      <c r="C19" t="s">
        <v>91</v>
      </c>
      <c r="D19" t="e">
        <f>#REF!</f>
        <v>#REF!</v>
      </c>
      <c r="E19" s="10" t="e" cm="1">
        <f t="array" ref="E19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19" s="6">
        <f>MB_B[[#This Row],[time value]]*MB_B[[#This Row],[multiplicator]]</f>
        <v>-145</v>
      </c>
      <c r="G19" s="11">
        <v>-1</v>
      </c>
      <c r="H19" s="3">
        <v>145</v>
      </c>
      <c r="I19" s="12" t="s">
        <v>202</v>
      </c>
      <c r="J19" s="2" t="s">
        <v>57</v>
      </c>
      <c r="K19" s="2" t="s">
        <v>11</v>
      </c>
    </row>
    <row r="20" spans="1:11" x14ac:dyDescent="0.3">
      <c r="A20" t="s">
        <v>523</v>
      </c>
      <c r="B20" t="s">
        <v>2</v>
      </c>
      <c r="C20" t="s">
        <v>91</v>
      </c>
      <c r="D20" t="e">
        <f>#REF!</f>
        <v>#REF!</v>
      </c>
      <c r="E20" s="10" t="e" cm="1">
        <f t="array" ref="E20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0" s="6">
        <f>MB_B[[#This Row],[time value]]*MB_B[[#This Row],[multiplicator]]</f>
        <v>-143</v>
      </c>
      <c r="G20" s="11">
        <v>-1</v>
      </c>
      <c r="H20" s="3">
        <v>143</v>
      </c>
      <c r="I20" s="12" t="s">
        <v>202</v>
      </c>
      <c r="J20" s="2" t="s">
        <v>58</v>
      </c>
      <c r="K20" s="2" t="s">
        <v>11</v>
      </c>
    </row>
    <row r="21" spans="1:11" x14ac:dyDescent="0.3">
      <c r="A21" t="s">
        <v>523</v>
      </c>
      <c r="B21" t="s">
        <v>2</v>
      </c>
      <c r="C21" t="s">
        <v>91</v>
      </c>
      <c r="D21" t="e">
        <f>#REF!</f>
        <v>#REF!</v>
      </c>
      <c r="E21" s="10" t="e" cm="1">
        <f t="array" ref="E21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1" s="6">
        <f>MB_B[[#This Row],[time value]]*MB_B[[#This Row],[multiplicator]]</f>
        <v>-141</v>
      </c>
      <c r="G21" s="11">
        <v>-1</v>
      </c>
      <c r="H21" s="3">
        <v>141</v>
      </c>
      <c r="I21" s="12" t="s">
        <v>202</v>
      </c>
      <c r="J21" s="2" t="s">
        <v>59</v>
      </c>
      <c r="K21" s="2" t="s">
        <v>42</v>
      </c>
    </row>
    <row r="22" spans="1:11" x14ac:dyDescent="0.3">
      <c r="A22" t="s">
        <v>523</v>
      </c>
      <c r="B22" t="s">
        <v>2</v>
      </c>
      <c r="C22" t="s">
        <v>91</v>
      </c>
      <c r="D22" t="e">
        <f>#REF!</f>
        <v>#REF!</v>
      </c>
      <c r="E22" s="10" t="e" cm="1">
        <f t="array" ref="E22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2" s="6">
        <f>MB_B[[#This Row],[time value]]*MB_B[[#This Row],[multiplicator]]</f>
        <v>-140</v>
      </c>
      <c r="G22" s="11">
        <v>-1</v>
      </c>
      <c r="H22" s="3">
        <v>140</v>
      </c>
      <c r="I22" s="12" t="s">
        <v>202</v>
      </c>
      <c r="J22" s="2" t="s">
        <v>60</v>
      </c>
      <c r="K22" s="2" t="s">
        <v>11</v>
      </c>
    </row>
    <row r="23" spans="1:11" x14ac:dyDescent="0.3">
      <c r="A23" t="s">
        <v>523</v>
      </c>
      <c r="B23" t="s">
        <v>2</v>
      </c>
      <c r="C23" t="s">
        <v>91</v>
      </c>
      <c r="D23" t="e">
        <f>#REF!</f>
        <v>#REF!</v>
      </c>
      <c r="E23" s="10" t="e" cm="1">
        <f t="array" ref="E23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3" s="6">
        <f>MB_B[[#This Row],[time value]]*MB_B[[#This Row],[multiplicator]]</f>
        <v>-135</v>
      </c>
      <c r="G23" s="11">
        <v>-1</v>
      </c>
      <c r="H23" s="3">
        <v>135</v>
      </c>
      <c r="I23" s="12" t="s">
        <v>202</v>
      </c>
      <c r="J23" s="2" t="s">
        <v>61</v>
      </c>
      <c r="K23" s="2" t="s">
        <v>11</v>
      </c>
    </row>
    <row r="24" spans="1:11" x14ac:dyDescent="0.3">
      <c r="A24" t="s">
        <v>523</v>
      </c>
      <c r="B24" t="s">
        <v>2</v>
      </c>
      <c r="C24" t="s">
        <v>91</v>
      </c>
      <c r="D24" t="e">
        <f>#REF!</f>
        <v>#REF!</v>
      </c>
      <c r="E24" s="10" t="e" cm="1">
        <f t="array" ref="E24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4" s="6">
        <f>MB_B[[#This Row],[time value]]*MB_B[[#This Row],[multiplicator]]</f>
        <v>-133</v>
      </c>
      <c r="G24" s="11">
        <v>-1</v>
      </c>
      <c r="H24" s="3">
        <v>133</v>
      </c>
      <c r="I24" s="12" t="s">
        <v>202</v>
      </c>
      <c r="J24" s="2" t="s">
        <v>62</v>
      </c>
      <c r="K24" s="2" t="s">
        <v>11</v>
      </c>
    </row>
    <row r="25" spans="1:11" x14ac:dyDescent="0.3">
      <c r="A25" t="s">
        <v>523</v>
      </c>
      <c r="B25" t="s">
        <v>2</v>
      </c>
      <c r="C25" t="s">
        <v>91</v>
      </c>
      <c r="D25" t="e">
        <f>#REF!</f>
        <v>#REF!</v>
      </c>
      <c r="E25" s="10" t="e" cm="1">
        <f t="array" ref="E25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5" s="6">
        <f>MB_B[[#This Row],[time value]]*MB_B[[#This Row],[multiplicator]]</f>
        <v>-130</v>
      </c>
      <c r="G25" s="11">
        <v>-1</v>
      </c>
      <c r="H25" s="3">
        <v>130</v>
      </c>
      <c r="I25" s="12" t="s">
        <v>202</v>
      </c>
      <c r="J25" s="2" t="s">
        <v>63</v>
      </c>
      <c r="K25" s="2" t="s">
        <v>11</v>
      </c>
    </row>
    <row r="26" spans="1:11" x14ac:dyDescent="0.3">
      <c r="A26" t="s">
        <v>523</v>
      </c>
      <c r="B26" t="s">
        <v>2</v>
      </c>
      <c r="C26" t="s">
        <v>91</v>
      </c>
      <c r="D26" t="e">
        <f>#REF!</f>
        <v>#REF!</v>
      </c>
      <c r="E26" s="10" t="e" cm="1">
        <f t="array" ref="E26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6" s="6">
        <f>MB_B[[#This Row],[time value]]*MB_B[[#This Row],[multiplicator]]</f>
        <v>-125</v>
      </c>
      <c r="G26" s="11">
        <v>-1</v>
      </c>
      <c r="H26" s="3">
        <v>125</v>
      </c>
      <c r="I26" s="12" t="s">
        <v>202</v>
      </c>
      <c r="J26" s="2" t="s">
        <v>64</v>
      </c>
      <c r="K26" s="2" t="s">
        <v>11</v>
      </c>
    </row>
    <row r="27" spans="1:11" x14ac:dyDescent="0.3">
      <c r="A27" t="s">
        <v>523</v>
      </c>
      <c r="B27" t="s">
        <v>2</v>
      </c>
      <c r="C27" t="s">
        <v>91</v>
      </c>
      <c r="D27" t="e">
        <f>#REF!</f>
        <v>#REF!</v>
      </c>
      <c r="E27" s="10" t="e" cm="1">
        <f t="array" ref="E27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7" s="6">
        <f>MB_B[[#This Row],[time value]]*MB_B[[#This Row],[multiplicator]]</f>
        <v>-123</v>
      </c>
      <c r="G27" s="11">
        <v>-1</v>
      </c>
      <c r="H27" s="3">
        <v>123</v>
      </c>
      <c r="I27" s="12" t="s">
        <v>202</v>
      </c>
      <c r="J27" s="2" t="s">
        <v>65</v>
      </c>
      <c r="K27" s="2" t="s">
        <v>11</v>
      </c>
    </row>
    <row r="28" spans="1:11" x14ac:dyDescent="0.3">
      <c r="A28" t="s">
        <v>523</v>
      </c>
      <c r="B28" t="s">
        <v>2</v>
      </c>
      <c r="C28" t="s">
        <v>91</v>
      </c>
      <c r="D28" t="e">
        <f>#REF!</f>
        <v>#REF!</v>
      </c>
      <c r="E28" s="10" t="e" cm="1">
        <f t="array" ref="E28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8" s="6">
        <f>MB_B[[#This Row],[time value]]*MB_B[[#This Row],[multiplicator]]</f>
        <v>-121</v>
      </c>
      <c r="G28" s="11">
        <v>-1</v>
      </c>
      <c r="H28" s="3">
        <v>121</v>
      </c>
      <c r="I28" s="12" t="s">
        <v>202</v>
      </c>
      <c r="J28" s="2" t="s">
        <v>66</v>
      </c>
      <c r="K28" s="2" t="s">
        <v>42</v>
      </c>
    </row>
    <row r="29" spans="1:11" x14ac:dyDescent="0.3">
      <c r="A29" t="s">
        <v>523</v>
      </c>
      <c r="B29" t="s">
        <v>2</v>
      </c>
      <c r="C29" t="s">
        <v>91</v>
      </c>
      <c r="D29" t="e">
        <f>#REF!</f>
        <v>#REF!</v>
      </c>
      <c r="E29" s="10" t="e" cm="1">
        <f t="array" ref="E29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29" s="6">
        <f>MB_B[[#This Row],[time value]]*MB_B[[#This Row],[multiplicator]]</f>
        <v>-120</v>
      </c>
      <c r="G29" s="11">
        <v>-1</v>
      </c>
      <c r="H29" s="3">
        <v>120</v>
      </c>
      <c r="I29" s="12" t="s">
        <v>202</v>
      </c>
      <c r="J29" s="2" t="s">
        <v>67</v>
      </c>
      <c r="K29" s="2" t="s">
        <v>11</v>
      </c>
    </row>
    <row r="30" spans="1:11" x14ac:dyDescent="0.3">
      <c r="A30" t="s">
        <v>523</v>
      </c>
      <c r="B30" t="s">
        <v>2</v>
      </c>
      <c r="C30" t="s">
        <v>91</v>
      </c>
      <c r="D30" t="e">
        <f>#REF!</f>
        <v>#REF!</v>
      </c>
      <c r="E30" s="10" t="e" cm="1">
        <f t="array" ref="E30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0" s="6">
        <f>MB_B[[#This Row],[time value]]*MB_B[[#This Row],[multiplicator]]</f>
        <v>-115</v>
      </c>
      <c r="G30" s="11">
        <v>-1</v>
      </c>
      <c r="H30" s="3">
        <v>115</v>
      </c>
      <c r="I30" s="12" t="s">
        <v>202</v>
      </c>
      <c r="J30" s="2" t="s">
        <v>68</v>
      </c>
      <c r="K30" s="2" t="s">
        <v>11</v>
      </c>
    </row>
    <row r="31" spans="1:11" x14ac:dyDescent="0.3">
      <c r="A31" t="s">
        <v>523</v>
      </c>
      <c r="B31" t="s">
        <v>2</v>
      </c>
      <c r="C31" t="s">
        <v>91</v>
      </c>
      <c r="D31" t="e">
        <f>#REF!</f>
        <v>#REF!</v>
      </c>
      <c r="E31" s="10" t="e" cm="1">
        <f t="array" ref="E31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1" s="6">
        <f>MB_B[[#This Row],[time value]]*MB_B[[#This Row],[multiplicator]]</f>
        <v>-113</v>
      </c>
      <c r="G31" s="11">
        <v>-1</v>
      </c>
      <c r="H31" s="3">
        <v>113</v>
      </c>
      <c r="I31" s="12" t="s">
        <v>202</v>
      </c>
      <c r="J31" s="2" t="s">
        <v>69</v>
      </c>
      <c r="K31" s="2" t="s">
        <v>11</v>
      </c>
    </row>
    <row r="32" spans="1:11" x14ac:dyDescent="0.3">
      <c r="A32" t="s">
        <v>523</v>
      </c>
      <c r="B32" t="s">
        <v>2</v>
      </c>
      <c r="C32" t="s">
        <v>91</v>
      </c>
      <c r="D32" t="e">
        <f>#REF!</f>
        <v>#REF!</v>
      </c>
      <c r="E32" s="10" t="e" cm="1">
        <f t="array" ref="E32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2" s="6">
        <f>MB_B[[#This Row],[time value]]*MB_B[[#This Row],[multiplicator]]</f>
        <v>-110</v>
      </c>
      <c r="G32" s="11">
        <v>-1</v>
      </c>
      <c r="H32" s="3">
        <v>110</v>
      </c>
      <c r="I32" s="12" t="s">
        <v>202</v>
      </c>
      <c r="J32" s="2" t="s">
        <v>71</v>
      </c>
      <c r="K32" s="2" t="s">
        <v>11</v>
      </c>
    </row>
    <row r="33" spans="1:11" x14ac:dyDescent="0.3">
      <c r="A33" t="s">
        <v>523</v>
      </c>
      <c r="B33" t="s">
        <v>2</v>
      </c>
      <c r="C33" t="s">
        <v>91</v>
      </c>
      <c r="D33" t="e">
        <f>#REF!</f>
        <v>#REF!</v>
      </c>
      <c r="E33" s="10" t="e" cm="1">
        <f t="array" ref="E33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3" s="6">
        <f>MB_B[[#This Row],[time value]]*MB_B[[#This Row],[multiplicator]]</f>
        <v>-105</v>
      </c>
      <c r="G33" s="11">
        <v>-1</v>
      </c>
      <c r="H33" s="3">
        <v>105</v>
      </c>
      <c r="I33" s="12" t="s">
        <v>202</v>
      </c>
      <c r="J33" s="2" t="s">
        <v>74</v>
      </c>
      <c r="K33" s="2" t="s">
        <v>11</v>
      </c>
    </row>
    <row r="34" spans="1:11" x14ac:dyDescent="0.3">
      <c r="A34" t="s">
        <v>523</v>
      </c>
      <c r="B34" t="s">
        <v>2</v>
      </c>
      <c r="C34" t="s">
        <v>91</v>
      </c>
      <c r="D34" t="e">
        <f>#REF!</f>
        <v>#REF!</v>
      </c>
      <c r="E34" s="10" t="e" cm="1">
        <f t="array" ref="E34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4" s="6">
        <f>MB_B[[#This Row],[time value]]*MB_B[[#This Row],[multiplicator]]</f>
        <v>-103</v>
      </c>
      <c r="G34" s="11">
        <v>-1</v>
      </c>
      <c r="H34" s="3">
        <v>103</v>
      </c>
      <c r="I34" s="12" t="s">
        <v>202</v>
      </c>
      <c r="J34" s="2" t="s">
        <v>75</v>
      </c>
      <c r="K34" s="2" t="s">
        <v>11</v>
      </c>
    </row>
    <row r="35" spans="1:11" x14ac:dyDescent="0.3">
      <c r="A35" t="s">
        <v>523</v>
      </c>
      <c r="B35" t="s">
        <v>2</v>
      </c>
      <c r="C35" t="s">
        <v>91</v>
      </c>
      <c r="D35" t="e">
        <f>#REF!</f>
        <v>#REF!</v>
      </c>
      <c r="E35" s="10" t="e" cm="1">
        <f t="array" ref="E35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5" s="6">
        <f>MB_B[[#This Row],[time value]]*MB_B[[#This Row],[multiplicator]]</f>
        <v>-101</v>
      </c>
      <c r="G35" s="11">
        <v>-1</v>
      </c>
      <c r="H35" s="3">
        <v>101</v>
      </c>
      <c r="I35" s="12" t="s">
        <v>202</v>
      </c>
      <c r="J35" s="2" t="s">
        <v>76</v>
      </c>
      <c r="K35" s="2" t="s">
        <v>42</v>
      </c>
    </row>
    <row r="36" spans="1:11" x14ac:dyDescent="0.3">
      <c r="A36" t="s">
        <v>523</v>
      </c>
      <c r="B36" t="s">
        <v>2</v>
      </c>
      <c r="C36" t="s">
        <v>91</v>
      </c>
      <c r="D36" t="e">
        <f>#REF!</f>
        <v>#REF!</v>
      </c>
      <c r="E36" s="10" t="e" cm="1">
        <f t="array" ref="E36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6" s="6">
        <f>MB_B[[#This Row],[time value]]*MB_B[[#This Row],[multiplicator]]</f>
        <v>-100</v>
      </c>
      <c r="G36" s="11">
        <v>-1</v>
      </c>
      <c r="H36" s="3">
        <v>100</v>
      </c>
      <c r="I36" s="12" t="s">
        <v>202</v>
      </c>
      <c r="J36" s="2" t="s">
        <v>78</v>
      </c>
      <c r="K36" s="2" t="s">
        <v>11</v>
      </c>
    </row>
    <row r="37" spans="1:11" x14ac:dyDescent="0.3">
      <c r="A37" t="s">
        <v>523</v>
      </c>
      <c r="B37" t="s">
        <v>2</v>
      </c>
      <c r="C37" t="s">
        <v>91</v>
      </c>
      <c r="D37" t="e">
        <f>#REF!</f>
        <v>#REF!</v>
      </c>
      <c r="E37" s="10" t="e" cm="1">
        <f t="array" ref="E37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7" s="6">
        <f>MB_B[[#This Row],[time value]]*MB_B[[#This Row],[multiplicator]]</f>
        <v>-95</v>
      </c>
      <c r="G37" s="11">
        <v>-1</v>
      </c>
      <c r="H37" s="3">
        <v>95</v>
      </c>
      <c r="I37" s="12" t="s">
        <v>202</v>
      </c>
      <c r="J37" s="2" t="s">
        <v>81</v>
      </c>
      <c r="K37" s="2" t="s">
        <v>11</v>
      </c>
    </row>
    <row r="38" spans="1:11" x14ac:dyDescent="0.3">
      <c r="A38" t="s">
        <v>523</v>
      </c>
      <c r="B38" t="s">
        <v>2</v>
      </c>
      <c r="C38" t="s">
        <v>91</v>
      </c>
      <c r="D38" t="e">
        <f>#REF!</f>
        <v>#REF!</v>
      </c>
      <c r="E38" s="10" t="e" cm="1">
        <f t="array" ref="E38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8" s="6">
        <f>MB_B[[#This Row],[time value]]*MB_B[[#This Row],[multiplicator]]</f>
        <v>-93</v>
      </c>
      <c r="G38" s="11">
        <v>-1</v>
      </c>
      <c r="H38" s="3">
        <v>93</v>
      </c>
      <c r="I38" s="12" t="s">
        <v>202</v>
      </c>
      <c r="J38" s="2" t="s">
        <v>83</v>
      </c>
      <c r="K38" s="2" t="s">
        <v>11</v>
      </c>
    </row>
    <row r="39" spans="1:11" x14ac:dyDescent="0.3">
      <c r="A39" t="s">
        <v>523</v>
      </c>
      <c r="B39" t="s">
        <v>2</v>
      </c>
      <c r="C39" t="s">
        <v>91</v>
      </c>
      <c r="D39" t="e">
        <f>#REF!</f>
        <v>#REF!</v>
      </c>
      <c r="E39" s="10" t="e" cm="1">
        <f t="array" ref="E39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39" s="6">
        <f>MB_B[[#This Row],[time value]]*MB_B[[#This Row],[multiplicator]]</f>
        <v>-90</v>
      </c>
      <c r="G39" s="11">
        <v>-1</v>
      </c>
      <c r="H39" s="3">
        <v>90</v>
      </c>
      <c r="I39" s="12" t="s">
        <v>202</v>
      </c>
      <c r="J39" s="2" t="s">
        <v>85</v>
      </c>
      <c r="K39" s="2" t="s">
        <v>11</v>
      </c>
    </row>
    <row r="40" spans="1:11" x14ac:dyDescent="0.3">
      <c r="A40" t="s">
        <v>523</v>
      </c>
      <c r="B40" t="s">
        <v>2</v>
      </c>
      <c r="C40" t="s">
        <v>91</v>
      </c>
      <c r="D40" t="e">
        <f>#REF!</f>
        <v>#REF!</v>
      </c>
      <c r="E40" s="10" t="e" cm="1">
        <f t="array" ref="E40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0" s="6">
        <f>MB_B[[#This Row],[time value]]*MB_B[[#This Row],[multiplicator]]</f>
        <v>-60</v>
      </c>
      <c r="G40" s="11">
        <v>-1</v>
      </c>
      <c r="H40" s="3">
        <v>60</v>
      </c>
      <c r="I40" s="12" t="s">
        <v>202</v>
      </c>
      <c r="J40" s="2" t="s">
        <v>95</v>
      </c>
      <c r="K40" s="2" t="s">
        <v>11</v>
      </c>
    </row>
    <row r="41" spans="1:11" x14ac:dyDescent="0.3">
      <c r="A41" t="s">
        <v>523</v>
      </c>
      <c r="B41" t="s">
        <v>2</v>
      </c>
      <c r="C41" t="s">
        <v>91</v>
      </c>
      <c r="D41" t="e">
        <f>#REF!</f>
        <v>#REF!</v>
      </c>
      <c r="E41" s="10" t="e" cm="1">
        <f t="array" ref="E41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1" s="6">
        <f>MB_B[[#This Row],[time value]]*MB_B[[#This Row],[multiplicator]]</f>
        <v>0</v>
      </c>
      <c r="G41" s="3">
        <v>1</v>
      </c>
      <c r="H41" s="3">
        <v>0</v>
      </c>
      <c r="I41" s="12" t="s">
        <v>202</v>
      </c>
      <c r="J41" s="2" t="s">
        <v>125</v>
      </c>
      <c r="K41" s="2"/>
    </row>
    <row r="42" spans="1:11" x14ac:dyDescent="0.3">
      <c r="A42" t="s">
        <v>523</v>
      </c>
      <c r="B42" t="s">
        <v>2</v>
      </c>
      <c r="C42" t="s">
        <v>91</v>
      </c>
      <c r="D42" t="e">
        <f>#REF!</f>
        <v>#REF!</v>
      </c>
      <c r="E42" s="10" t="e" cm="1">
        <f t="array" ref="E42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2" s="6">
        <f>MB_B[[#This Row],[time value]]*MB_B[[#This Row],[multiplicator]]</f>
        <v>0</v>
      </c>
      <c r="G42" s="3">
        <v>1</v>
      </c>
      <c r="H42" s="3">
        <v>0</v>
      </c>
      <c r="I42" s="12" t="s">
        <v>202</v>
      </c>
      <c r="J42" s="2" t="s">
        <v>132</v>
      </c>
      <c r="K42" s="2" t="s">
        <v>131</v>
      </c>
    </row>
    <row r="43" spans="1:11" x14ac:dyDescent="0.3">
      <c r="A43" t="s">
        <v>523</v>
      </c>
      <c r="B43" t="s">
        <v>2</v>
      </c>
      <c r="C43" t="s">
        <v>91</v>
      </c>
      <c r="D43" t="e">
        <f>#REF!</f>
        <v>#REF!</v>
      </c>
      <c r="E43" s="10" t="e" cm="1">
        <f t="array" ref="E43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3" s="6">
        <f>MB_B[[#This Row],[time value]]*MB_B[[#This Row],[multiplicator]]</f>
        <v>45</v>
      </c>
      <c r="G43" s="3">
        <v>1</v>
      </c>
      <c r="H43" s="3">
        <v>45</v>
      </c>
      <c r="I43" s="12" t="s">
        <v>202</v>
      </c>
      <c r="J43" s="2" t="s">
        <v>139</v>
      </c>
      <c r="K43" s="2"/>
    </row>
    <row r="44" spans="1:11" x14ac:dyDescent="0.3">
      <c r="A44" t="s">
        <v>523</v>
      </c>
      <c r="B44" t="s">
        <v>2</v>
      </c>
      <c r="C44" t="s">
        <v>91</v>
      </c>
      <c r="D44" t="e">
        <f>#REF!</f>
        <v>#REF!</v>
      </c>
      <c r="E44" s="10" t="e" cm="1">
        <f t="array" ref="E44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4" s="6">
        <f>MB_B[[#This Row],[time value]]*MB_B[[#This Row],[multiplicator]]</f>
        <v>60</v>
      </c>
      <c r="G44" s="3">
        <v>1</v>
      </c>
      <c r="H44" s="3">
        <v>60</v>
      </c>
      <c r="I44" s="12" t="s">
        <v>202</v>
      </c>
      <c r="J44" s="2" t="s">
        <v>132</v>
      </c>
      <c r="K44" s="2" t="s">
        <v>131</v>
      </c>
    </row>
    <row r="45" spans="1:11" x14ac:dyDescent="0.3">
      <c r="A45" t="s">
        <v>523</v>
      </c>
      <c r="B45" t="s">
        <v>2</v>
      </c>
      <c r="C45" t="s">
        <v>91</v>
      </c>
      <c r="D45" t="e">
        <f>#REF!</f>
        <v>#REF!</v>
      </c>
      <c r="E45" s="10" t="e" cm="1">
        <f t="array" ref="E45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5" s="6">
        <f>MB_B[[#This Row],[time value]]*MB_B[[#This Row],[multiplicator]]</f>
        <v>0</v>
      </c>
      <c r="G45" s="3">
        <v>1</v>
      </c>
      <c r="H45" s="3"/>
      <c r="I45" s="14" t="s">
        <v>494</v>
      </c>
      <c r="J45" s="2" t="s">
        <v>143</v>
      </c>
      <c r="K45" s="2"/>
    </row>
    <row r="46" spans="1:11" x14ac:dyDescent="0.3">
      <c r="A46" t="s">
        <v>523</v>
      </c>
      <c r="B46" t="s">
        <v>2</v>
      </c>
      <c r="C46" t="s">
        <v>91</v>
      </c>
      <c r="D46" t="e">
        <f>#REF!</f>
        <v>#REF!</v>
      </c>
      <c r="E46" s="10" t="e" cm="1">
        <f t="array" ref="E46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6" s="6">
        <f>MB_B[[#This Row],[time value]]*MB_B[[#This Row],[multiplicator]]</f>
        <v>15</v>
      </c>
      <c r="G46" s="11">
        <v>1</v>
      </c>
      <c r="H46" s="3">
        <v>15</v>
      </c>
      <c r="I46" s="12" t="s">
        <v>494</v>
      </c>
      <c r="J46" s="2" t="s">
        <v>148</v>
      </c>
      <c r="K46" s="2" t="s">
        <v>11</v>
      </c>
    </row>
    <row r="47" spans="1:11" x14ac:dyDescent="0.3">
      <c r="A47" t="s">
        <v>523</v>
      </c>
      <c r="B47" t="s">
        <v>2</v>
      </c>
      <c r="C47" t="s">
        <v>91</v>
      </c>
      <c r="D47" t="e">
        <f>#REF!</f>
        <v>#REF!</v>
      </c>
      <c r="E47" s="10" t="e" cm="1">
        <f t="array" ref="E47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7" s="6">
        <f>MB_B[[#This Row],[time value]]*MB_B[[#This Row],[multiplicator]]</f>
        <v>20</v>
      </c>
      <c r="G47" s="11">
        <v>1</v>
      </c>
      <c r="H47" s="3">
        <v>20</v>
      </c>
      <c r="I47" s="11" t="s">
        <v>494</v>
      </c>
      <c r="J47" s="2" t="s">
        <v>153</v>
      </c>
      <c r="K47" s="2" t="s">
        <v>11</v>
      </c>
    </row>
    <row r="48" spans="1:11" x14ac:dyDescent="0.3">
      <c r="A48" t="s">
        <v>523</v>
      </c>
      <c r="B48" t="s">
        <v>2</v>
      </c>
      <c r="C48" t="s">
        <v>91</v>
      </c>
      <c r="D48" t="e">
        <f>#REF!</f>
        <v>#REF!</v>
      </c>
      <c r="E48" s="10" t="e" cm="1">
        <f t="array" ref="E48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8" s="6">
        <f>MB_B[[#This Row],[time value]]*MB_B[[#This Row],[multiplicator]]</f>
        <v>25</v>
      </c>
      <c r="G48" s="11">
        <v>1</v>
      </c>
      <c r="H48" s="3">
        <v>25</v>
      </c>
      <c r="I48" s="11" t="s">
        <v>494</v>
      </c>
      <c r="J48" s="2" t="s">
        <v>155</v>
      </c>
      <c r="K48" s="2" t="s">
        <v>11</v>
      </c>
    </row>
    <row r="49" spans="1:11" x14ac:dyDescent="0.3">
      <c r="A49" t="s">
        <v>523</v>
      </c>
      <c r="B49" t="s">
        <v>2</v>
      </c>
      <c r="C49" t="s">
        <v>91</v>
      </c>
      <c r="D49" t="e">
        <f>#REF!</f>
        <v>#REF!</v>
      </c>
      <c r="E49" s="10" t="e" cm="1">
        <f t="array" ref="E49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49" s="6">
        <f>MB_B[[#This Row],[time value]]*MB_B[[#This Row],[multiplicator]]</f>
        <v>30</v>
      </c>
      <c r="G49" s="11">
        <v>1</v>
      </c>
      <c r="H49" s="3">
        <v>30</v>
      </c>
      <c r="I49" s="11" t="s">
        <v>494</v>
      </c>
      <c r="J49" s="2" t="s">
        <v>158</v>
      </c>
      <c r="K49" s="2" t="s">
        <v>11</v>
      </c>
    </row>
    <row r="50" spans="1:11" x14ac:dyDescent="0.3">
      <c r="A50" t="s">
        <v>523</v>
      </c>
      <c r="B50" t="s">
        <v>2</v>
      </c>
      <c r="C50" t="s">
        <v>91</v>
      </c>
      <c r="D50" t="e">
        <f>#REF!</f>
        <v>#REF!</v>
      </c>
      <c r="E50" s="10" t="e" cm="1">
        <f t="array" ref="E50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0" s="6">
        <f>MB_B[[#This Row],[time value]]*MB_B[[#This Row],[multiplicator]]</f>
        <v>35</v>
      </c>
      <c r="G50" s="11">
        <v>1</v>
      </c>
      <c r="H50" s="3">
        <v>35</v>
      </c>
      <c r="I50" s="11" t="s">
        <v>494</v>
      </c>
      <c r="J50" s="2" t="s">
        <v>161</v>
      </c>
      <c r="K50" s="2" t="s">
        <v>11</v>
      </c>
    </row>
    <row r="51" spans="1:11" x14ac:dyDescent="0.3">
      <c r="A51" t="s">
        <v>523</v>
      </c>
      <c r="B51" t="s">
        <v>2</v>
      </c>
      <c r="C51" t="s">
        <v>91</v>
      </c>
      <c r="D51" t="e">
        <f>#REF!</f>
        <v>#REF!</v>
      </c>
      <c r="E51" s="10" t="e" cm="1">
        <f t="array" ref="E51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1" s="6">
        <f>MB_B[[#This Row],[time value]]*MB_B[[#This Row],[multiplicator]]</f>
        <v>20</v>
      </c>
      <c r="G51" s="11">
        <v>1</v>
      </c>
      <c r="H51" s="3">
        <v>20</v>
      </c>
      <c r="I51" s="11" t="s">
        <v>494</v>
      </c>
      <c r="J51" s="2" t="s">
        <v>154</v>
      </c>
      <c r="K51" s="2" t="s">
        <v>11</v>
      </c>
    </row>
    <row r="52" spans="1:11" x14ac:dyDescent="0.3">
      <c r="A52" t="s">
        <v>523</v>
      </c>
      <c r="B52" t="s">
        <v>2</v>
      </c>
      <c r="C52" t="s">
        <v>91</v>
      </c>
      <c r="D52" t="e">
        <f>#REF!</f>
        <v>#REF!</v>
      </c>
      <c r="E52" s="10" t="e" cm="1">
        <f t="array" ref="E52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2" s="6">
        <f>MB_B[[#This Row],[time value]]*MB_B[[#This Row],[multiplicator]]</f>
        <v>25</v>
      </c>
      <c r="G52" s="11">
        <v>1</v>
      </c>
      <c r="H52" s="3">
        <v>25</v>
      </c>
      <c r="I52" s="11" t="s">
        <v>494</v>
      </c>
      <c r="J52" s="2" t="s">
        <v>156</v>
      </c>
      <c r="K52" s="2" t="s">
        <v>11</v>
      </c>
    </row>
    <row r="53" spans="1:11" x14ac:dyDescent="0.3">
      <c r="A53" t="s">
        <v>523</v>
      </c>
      <c r="B53" t="s">
        <v>2</v>
      </c>
      <c r="C53" t="s">
        <v>91</v>
      </c>
      <c r="D53" t="e">
        <f>#REF!</f>
        <v>#REF!</v>
      </c>
      <c r="E53" s="10" t="e" cm="1">
        <f t="array" ref="E53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3" s="6">
        <f>MB_B[[#This Row],[time value]]*MB_B[[#This Row],[multiplicator]]</f>
        <v>30</v>
      </c>
      <c r="G53" s="11">
        <v>1</v>
      </c>
      <c r="H53" s="3">
        <v>30</v>
      </c>
      <c r="I53" s="11" t="s">
        <v>494</v>
      </c>
      <c r="J53" s="2" t="s">
        <v>159</v>
      </c>
      <c r="K53" s="2" t="s">
        <v>11</v>
      </c>
    </row>
    <row r="54" spans="1:11" x14ac:dyDescent="0.3">
      <c r="A54" t="s">
        <v>523</v>
      </c>
      <c r="B54" t="s">
        <v>2</v>
      </c>
      <c r="C54" t="s">
        <v>91</v>
      </c>
      <c r="D54" t="e">
        <f>#REF!</f>
        <v>#REF!</v>
      </c>
      <c r="E54" s="10" t="e" cm="1">
        <f t="array" ref="E54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4" s="6">
        <f>MB_B[[#This Row],[time value]]*MB_B[[#This Row],[multiplicator]]</f>
        <v>35</v>
      </c>
      <c r="G54" s="11">
        <v>1</v>
      </c>
      <c r="H54" s="3">
        <v>35</v>
      </c>
      <c r="I54" s="11" t="s">
        <v>494</v>
      </c>
      <c r="J54" s="2" t="s">
        <v>162</v>
      </c>
      <c r="K54" s="2" t="s">
        <v>11</v>
      </c>
    </row>
    <row r="55" spans="1:11" x14ac:dyDescent="0.3">
      <c r="A55" t="s">
        <v>523</v>
      </c>
      <c r="B55" t="s">
        <v>2</v>
      </c>
      <c r="C55" t="s">
        <v>91</v>
      </c>
      <c r="D55" t="e">
        <f>#REF!</f>
        <v>#REF!</v>
      </c>
      <c r="E55" s="10" t="e" cm="1">
        <f t="array" ref="E55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5" s="6">
        <f>MB_B[[#This Row],[time value]]*MB_B[[#This Row],[multiplicator]]</f>
        <v>40</v>
      </c>
      <c r="G55" s="11">
        <v>1</v>
      </c>
      <c r="H55" s="3">
        <v>40</v>
      </c>
      <c r="I55" s="11" t="s">
        <v>494</v>
      </c>
      <c r="J55" s="2" t="s">
        <v>165</v>
      </c>
      <c r="K55" s="2" t="s">
        <v>11</v>
      </c>
    </row>
    <row r="56" spans="1:11" x14ac:dyDescent="0.3">
      <c r="A56" t="s">
        <v>523</v>
      </c>
      <c r="B56" t="s">
        <v>2</v>
      </c>
      <c r="C56" t="s">
        <v>91</v>
      </c>
      <c r="D56" t="e">
        <f>#REF!</f>
        <v>#REF!</v>
      </c>
      <c r="E56" s="10" t="e" cm="1">
        <f t="array" ref="E56">_xlfn.IFS(MB_B[[#This Row],[reference wisle]]="KO",#REF!+(MB_B[[#This Row],[Time to KO]]/1440),MB_B[[#This Row],[reference wisle]]="FW",#REF!+(MB_B[[#This Row],[Time to KO]]/1440),MB_B[[#This Row],[reference wisle]]="EOD","End of Day")</f>
        <v>#REF!</v>
      </c>
      <c r="F56" s="6">
        <f>MB_B[[#This Row],[time value]]*MB_B[[#This Row],[multiplicator]]</f>
        <v>45</v>
      </c>
      <c r="G56" s="11">
        <v>1</v>
      </c>
      <c r="H56" s="3">
        <v>45</v>
      </c>
      <c r="I56" s="11" t="s">
        <v>494</v>
      </c>
      <c r="J56" s="2" t="s">
        <v>167</v>
      </c>
      <c r="K56" s="2" t="s">
        <v>42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43A8-8E63-4E96-9EC7-0D90CC1BAD21}">
  <sheetPr>
    <tabColor theme="2" tint="-9.9978637043366805E-2"/>
  </sheetPr>
  <dimension ref="A1:K56"/>
  <sheetViews>
    <sheetView workbookViewId="0">
      <selection activeCell="H2" sqref="H2"/>
    </sheetView>
  </sheetViews>
  <sheetFormatPr defaultColWidth="11" defaultRowHeight="15.6" x14ac:dyDescent="0.3"/>
  <cols>
    <col min="1" max="1" width="12.5" bestFit="1" customWidth="1"/>
    <col min="2" max="4" width="12.5" customWidth="1"/>
    <col min="5" max="5" width="12.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523</v>
      </c>
      <c r="B2" t="s">
        <v>2</v>
      </c>
      <c r="C2" t="s">
        <v>144</v>
      </c>
      <c r="D2" t="e">
        <f>#REF!</f>
        <v>#REF!</v>
      </c>
      <c r="E2" s="10" t="e" cm="1">
        <f t="array" ref="E2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" s="6">
        <f>MB_C[[#This Row],[time value]]*MB_C[[#This Row],[multiplicator]]</f>
        <v>-195</v>
      </c>
      <c r="G2" s="11">
        <v>-1</v>
      </c>
      <c r="H2" s="11">
        <v>195</v>
      </c>
      <c r="I2" s="12" t="s">
        <v>202</v>
      </c>
      <c r="J2" s="2" t="s">
        <v>35</v>
      </c>
      <c r="K2" s="2" t="s">
        <v>11</v>
      </c>
    </row>
    <row r="3" spans="1:11" ht="46.8" x14ac:dyDescent="0.3">
      <c r="A3" t="s">
        <v>523</v>
      </c>
      <c r="B3" t="s">
        <v>2</v>
      </c>
      <c r="C3" t="s">
        <v>144</v>
      </c>
      <c r="D3" t="e">
        <f>#REF!</f>
        <v>#REF!</v>
      </c>
      <c r="E3" s="10" t="e" cm="1">
        <f t="array" ref="E3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" s="6">
        <f>MB_C[[#This Row],[time value]]*MB_C[[#This Row],[multiplicator]]</f>
        <v>-190</v>
      </c>
      <c r="G3" s="11">
        <v>-1</v>
      </c>
      <c r="H3" s="3">
        <v>190</v>
      </c>
      <c r="I3" s="12" t="s">
        <v>202</v>
      </c>
      <c r="J3" s="22" t="s">
        <v>36</v>
      </c>
      <c r="K3" s="2" t="s">
        <v>37</v>
      </c>
    </row>
    <row r="4" spans="1:11" x14ac:dyDescent="0.3">
      <c r="A4" t="s">
        <v>523</v>
      </c>
      <c r="B4" t="s">
        <v>2</v>
      </c>
      <c r="C4" t="s">
        <v>144</v>
      </c>
      <c r="D4" t="e">
        <f>#REF!</f>
        <v>#REF!</v>
      </c>
      <c r="E4" s="10" t="e" cm="1">
        <f t="array" ref="E4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" s="6">
        <f>MB_C[[#This Row],[time value]]*MB_C[[#This Row],[multiplicator]]</f>
        <v>-190</v>
      </c>
      <c r="G4" s="11">
        <v>-1</v>
      </c>
      <c r="H4" s="3">
        <v>190</v>
      </c>
      <c r="I4" s="12" t="s">
        <v>202</v>
      </c>
      <c r="J4" s="2" t="s">
        <v>38</v>
      </c>
      <c r="K4" s="2" t="s">
        <v>11</v>
      </c>
    </row>
    <row r="5" spans="1:11" x14ac:dyDescent="0.3">
      <c r="A5" t="s">
        <v>523</v>
      </c>
      <c r="B5" t="s">
        <v>2</v>
      </c>
      <c r="C5" t="s">
        <v>144</v>
      </c>
      <c r="D5" t="e">
        <f>#REF!</f>
        <v>#REF!</v>
      </c>
      <c r="E5" s="10" t="e" cm="1">
        <f t="array" ref="E5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" s="6">
        <f>MB_C[[#This Row],[time value]]*MB_C[[#This Row],[multiplicator]]</f>
        <v>-185</v>
      </c>
      <c r="G5" s="11">
        <v>-1</v>
      </c>
      <c r="H5" s="3">
        <v>185</v>
      </c>
      <c r="I5" s="12" t="s">
        <v>202</v>
      </c>
      <c r="J5" s="2" t="s">
        <v>39</v>
      </c>
      <c r="K5" s="2" t="s">
        <v>11</v>
      </c>
    </row>
    <row r="6" spans="1:11" x14ac:dyDescent="0.3">
      <c r="A6" t="s">
        <v>523</v>
      </c>
      <c r="B6" t="s">
        <v>2</v>
      </c>
      <c r="C6" t="s">
        <v>144</v>
      </c>
      <c r="D6" t="e">
        <f>#REF!</f>
        <v>#REF!</v>
      </c>
      <c r="E6" s="10" t="e" cm="1">
        <f t="array" ref="E6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6" s="6">
        <f>MB_C[[#This Row],[time value]]*MB_C[[#This Row],[multiplicator]]</f>
        <v>-183</v>
      </c>
      <c r="G6" s="11">
        <v>-1</v>
      </c>
      <c r="H6" s="3">
        <v>183</v>
      </c>
      <c r="I6" s="12" t="s">
        <v>202</v>
      </c>
      <c r="J6" s="2" t="s">
        <v>40</v>
      </c>
      <c r="K6" s="2" t="s">
        <v>11</v>
      </c>
    </row>
    <row r="7" spans="1:11" x14ac:dyDescent="0.3">
      <c r="A7" t="s">
        <v>523</v>
      </c>
      <c r="B7" t="s">
        <v>2</v>
      </c>
      <c r="C7" t="s">
        <v>144</v>
      </c>
      <c r="D7" t="e">
        <f>#REF!</f>
        <v>#REF!</v>
      </c>
      <c r="E7" s="10" t="e" cm="1">
        <f t="array" ref="E7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7" s="6">
        <f>MB_C[[#This Row],[time value]]*MB_C[[#This Row],[multiplicator]]</f>
        <v>-181</v>
      </c>
      <c r="G7" s="11">
        <v>-1</v>
      </c>
      <c r="H7" s="3">
        <v>181</v>
      </c>
      <c r="I7" s="12" t="s">
        <v>202</v>
      </c>
      <c r="J7" s="2" t="s">
        <v>41</v>
      </c>
      <c r="K7" s="2" t="s">
        <v>42</v>
      </c>
    </row>
    <row r="8" spans="1:11" x14ac:dyDescent="0.3">
      <c r="A8" t="s">
        <v>523</v>
      </c>
      <c r="B8" t="s">
        <v>2</v>
      </c>
      <c r="C8" t="s">
        <v>144</v>
      </c>
      <c r="D8" t="e">
        <f>#REF!</f>
        <v>#REF!</v>
      </c>
      <c r="E8" s="10" t="e" cm="1">
        <f t="array" ref="E8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8" s="6">
        <f>MB_C[[#This Row],[time value]]*MB_C[[#This Row],[multiplicator]]</f>
        <v>-180</v>
      </c>
      <c r="G8" s="11">
        <v>-1</v>
      </c>
      <c r="H8" s="3">
        <v>180</v>
      </c>
      <c r="I8" s="12" t="s">
        <v>202</v>
      </c>
      <c r="J8" s="2" t="s">
        <v>43</v>
      </c>
      <c r="K8" s="2" t="s">
        <v>11</v>
      </c>
    </row>
    <row r="9" spans="1:11" x14ac:dyDescent="0.3">
      <c r="A9" t="s">
        <v>523</v>
      </c>
      <c r="B9" t="s">
        <v>2</v>
      </c>
      <c r="C9" t="s">
        <v>144</v>
      </c>
      <c r="D9" t="e">
        <f>#REF!</f>
        <v>#REF!</v>
      </c>
      <c r="E9" s="10" t="e" cm="1">
        <f t="array" ref="E9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9" s="6">
        <f>MB_C[[#This Row],[time value]]*MB_C[[#This Row],[multiplicator]]</f>
        <v>-175</v>
      </c>
      <c r="G9" s="11">
        <v>-1</v>
      </c>
      <c r="H9" s="3">
        <v>175</v>
      </c>
      <c r="I9" s="12" t="s">
        <v>202</v>
      </c>
      <c r="J9" s="2" t="s">
        <v>44</v>
      </c>
      <c r="K9" s="2" t="s">
        <v>11</v>
      </c>
    </row>
    <row r="10" spans="1:11" x14ac:dyDescent="0.3">
      <c r="A10" t="s">
        <v>523</v>
      </c>
      <c r="B10" t="s">
        <v>2</v>
      </c>
      <c r="C10" t="s">
        <v>144</v>
      </c>
      <c r="D10" t="e">
        <f>#REF!</f>
        <v>#REF!</v>
      </c>
      <c r="E10" s="10" t="e" cm="1">
        <f t="array" ref="E10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0" s="6">
        <f>MB_C[[#This Row],[time value]]*MB_C[[#This Row],[multiplicator]]</f>
        <v>-173</v>
      </c>
      <c r="G10" s="11">
        <v>-1</v>
      </c>
      <c r="H10" s="3">
        <v>173</v>
      </c>
      <c r="I10" s="12" t="s">
        <v>202</v>
      </c>
      <c r="J10" s="2" t="s">
        <v>45</v>
      </c>
      <c r="K10" s="2" t="s">
        <v>11</v>
      </c>
    </row>
    <row r="11" spans="1:11" x14ac:dyDescent="0.3">
      <c r="A11" t="s">
        <v>523</v>
      </c>
      <c r="B11" t="s">
        <v>2</v>
      </c>
      <c r="C11" t="s">
        <v>144</v>
      </c>
      <c r="D11" t="e">
        <f>#REF!</f>
        <v>#REF!</v>
      </c>
      <c r="E11" s="10" t="e" cm="1">
        <f t="array" ref="E11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1" s="6">
        <f>MB_C[[#This Row],[time value]]*MB_C[[#This Row],[multiplicator]]</f>
        <v>-170</v>
      </c>
      <c r="G11" s="11">
        <v>-1</v>
      </c>
      <c r="H11" s="3">
        <v>170</v>
      </c>
      <c r="I11" s="12" t="s">
        <v>202</v>
      </c>
      <c r="J11" s="2" t="s">
        <v>46</v>
      </c>
      <c r="K11" s="2" t="s">
        <v>11</v>
      </c>
    </row>
    <row r="12" spans="1:11" x14ac:dyDescent="0.3">
      <c r="A12" t="s">
        <v>523</v>
      </c>
      <c r="B12" t="s">
        <v>2</v>
      </c>
      <c r="C12" t="s">
        <v>144</v>
      </c>
      <c r="D12" t="e">
        <f>#REF!</f>
        <v>#REF!</v>
      </c>
      <c r="E12" s="10" t="e" cm="1">
        <f t="array" ref="E12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2" s="6">
        <f>MB_C[[#This Row],[time value]]*MB_C[[#This Row],[multiplicator]]</f>
        <v>-165</v>
      </c>
      <c r="G12" s="11">
        <v>-1</v>
      </c>
      <c r="H12" s="3">
        <v>165</v>
      </c>
      <c r="I12" s="12" t="s">
        <v>202</v>
      </c>
      <c r="J12" s="2" t="s">
        <v>47</v>
      </c>
      <c r="K12" s="2" t="s">
        <v>11</v>
      </c>
    </row>
    <row r="13" spans="1:11" x14ac:dyDescent="0.3">
      <c r="A13" t="s">
        <v>523</v>
      </c>
      <c r="B13" t="s">
        <v>2</v>
      </c>
      <c r="C13" t="s">
        <v>144</v>
      </c>
      <c r="D13" t="e">
        <f>#REF!</f>
        <v>#REF!</v>
      </c>
      <c r="E13" s="10" t="e" cm="1">
        <f t="array" ref="E13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3" s="6">
        <f>MB_C[[#This Row],[time value]]*MB_C[[#This Row],[multiplicator]]</f>
        <v>-163</v>
      </c>
      <c r="G13" s="11">
        <v>-1</v>
      </c>
      <c r="H13" s="3">
        <v>163</v>
      </c>
      <c r="I13" s="12" t="s">
        <v>202</v>
      </c>
      <c r="J13" s="2" t="s">
        <v>48</v>
      </c>
      <c r="K13" s="2" t="s">
        <v>11</v>
      </c>
    </row>
    <row r="14" spans="1:11" x14ac:dyDescent="0.3">
      <c r="A14" t="s">
        <v>523</v>
      </c>
      <c r="B14" t="s">
        <v>2</v>
      </c>
      <c r="C14" t="s">
        <v>144</v>
      </c>
      <c r="D14" t="e">
        <f>#REF!</f>
        <v>#REF!</v>
      </c>
      <c r="E14" s="10" t="e" cm="1">
        <f t="array" ref="E14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4" s="6">
        <f>MB_C[[#This Row],[time value]]*MB_C[[#This Row],[multiplicator]]</f>
        <v>-161</v>
      </c>
      <c r="G14" s="11">
        <v>-1</v>
      </c>
      <c r="H14" s="3">
        <v>161</v>
      </c>
      <c r="I14" s="12" t="s">
        <v>202</v>
      </c>
      <c r="J14" s="2" t="s">
        <v>49</v>
      </c>
      <c r="K14" s="2" t="s">
        <v>42</v>
      </c>
    </row>
    <row r="15" spans="1:11" x14ac:dyDescent="0.3">
      <c r="A15" t="s">
        <v>523</v>
      </c>
      <c r="B15" t="s">
        <v>2</v>
      </c>
      <c r="C15" t="s">
        <v>144</v>
      </c>
      <c r="D15" t="e">
        <f>#REF!</f>
        <v>#REF!</v>
      </c>
      <c r="E15" s="10" t="e" cm="1">
        <f t="array" ref="E15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5" s="6">
        <f>MB_C[[#This Row],[time value]]*MB_C[[#This Row],[multiplicator]]</f>
        <v>-160</v>
      </c>
      <c r="G15" s="11">
        <v>-1</v>
      </c>
      <c r="H15" s="3">
        <v>160</v>
      </c>
      <c r="I15" s="12" t="s">
        <v>202</v>
      </c>
      <c r="J15" s="2" t="s">
        <v>50</v>
      </c>
      <c r="K15" s="2" t="s">
        <v>11</v>
      </c>
    </row>
    <row r="16" spans="1:11" x14ac:dyDescent="0.3">
      <c r="A16" t="s">
        <v>523</v>
      </c>
      <c r="B16" t="s">
        <v>2</v>
      </c>
      <c r="C16" t="s">
        <v>144</v>
      </c>
      <c r="D16" t="e">
        <f>#REF!</f>
        <v>#REF!</v>
      </c>
      <c r="E16" s="10" t="e" cm="1">
        <f t="array" ref="E16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6" s="6">
        <f>MB_C[[#This Row],[time value]]*MB_C[[#This Row],[multiplicator]]</f>
        <v>-155</v>
      </c>
      <c r="G16" s="11">
        <v>-1</v>
      </c>
      <c r="H16" s="3">
        <v>155</v>
      </c>
      <c r="I16" s="12" t="s">
        <v>202</v>
      </c>
      <c r="J16" s="2" t="s">
        <v>52</v>
      </c>
      <c r="K16" s="2" t="s">
        <v>11</v>
      </c>
    </row>
    <row r="17" spans="1:11" x14ac:dyDescent="0.3">
      <c r="A17" t="s">
        <v>523</v>
      </c>
      <c r="B17" t="s">
        <v>2</v>
      </c>
      <c r="C17" t="s">
        <v>144</v>
      </c>
      <c r="D17" t="e">
        <f>#REF!</f>
        <v>#REF!</v>
      </c>
      <c r="E17" s="10" t="e" cm="1">
        <f t="array" ref="E17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7" s="6">
        <f>MB_C[[#This Row],[time value]]*MB_C[[#This Row],[multiplicator]]</f>
        <v>-153</v>
      </c>
      <c r="G17" s="11">
        <v>-1</v>
      </c>
      <c r="H17" s="3">
        <v>153</v>
      </c>
      <c r="I17" s="12" t="s">
        <v>202</v>
      </c>
      <c r="J17" s="2" t="s">
        <v>53</v>
      </c>
      <c r="K17" s="2" t="s">
        <v>11</v>
      </c>
    </row>
    <row r="18" spans="1:11" x14ac:dyDescent="0.3">
      <c r="A18" t="s">
        <v>523</v>
      </c>
      <c r="B18" t="s">
        <v>2</v>
      </c>
      <c r="C18" t="s">
        <v>144</v>
      </c>
      <c r="D18" t="e">
        <f>#REF!</f>
        <v>#REF!</v>
      </c>
      <c r="E18" s="10" t="e" cm="1">
        <f t="array" ref="E18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8" s="6">
        <f>MB_C[[#This Row],[time value]]*MB_C[[#This Row],[multiplicator]]</f>
        <v>-150</v>
      </c>
      <c r="G18" s="11">
        <v>-1</v>
      </c>
      <c r="H18" s="3">
        <v>150</v>
      </c>
      <c r="I18" s="12" t="s">
        <v>202</v>
      </c>
      <c r="J18" s="2" t="s">
        <v>56</v>
      </c>
      <c r="K18" s="2" t="s">
        <v>11</v>
      </c>
    </row>
    <row r="19" spans="1:11" x14ac:dyDescent="0.3">
      <c r="A19" t="s">
        <v>523</v>
      </c>
      <c r="B19" t="s">
        <v>2</v>
      </c>
      <c r="C19" t="s">
        <v>144</v>
      </c>
      <c r="D19" t="e">
        <f>#REF!</f>
        <v>#REF!</v>
      </c>
      <c r="E19" s="10" t="e" cm="1">
        <f t="array" ref="E19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19" s="6">
        <f>MB_C[[#This Row],[time value]]*MB_C[[#This Row],[multiplicator]]</f>
        <v>-145</v>
      </c>
      <c r="G19" s="11">
        <v>-1</v>
      </c>
      <c r="H19" s="3">
        <v>145</v>
      </c>
      <c r="I19" s="12" t="s">
        <v>202</v>
      </c>
      <c r="J19" s="2" t="s">
        <v>57</v>
      </c>
      <c r="K19" s="2" t="s">
        <v>11</v>
      </c>
    </row>
    <row r="20" spans="1:11" x14ac:dyDescent="0.3">
      <c r="A20" t="s">
        <v>523</v>
      </c>
      <c r="B20" t="s">
        <v>2</v>
      </c>
      <c r="C20" t="s">
        <v>144</v>
      </c>
      <c r="D20" t="e">
        <f>#REF!</f>
        <v>#REF!</v>
      </c>
      <c r="E20" s="10" t="e" cm="1">
        <f t="array" ref="E20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0" s="6">
        <f>MB_C[[#This Row],[time value]]*MB_C[[#This Row],[multiplicator]]</f>
        <v>-143</v>
      </c>
      <c r="G20" s="11">
        <v>-1</v>
      </c>
      <c r="H20" s="3">
        <v>143</v>
      </c>
      <c r="I20" s="12" t="s">
        <v>202</v>
      </c>
      <c r="J20" s="2" t="s">
        <v>58</v>
      </c>
      <c r="K20" s="2" t="s">
        <v>11</v>
      </c>
    </row>
    <row r="21" spans="1:11" x14ac:dyDescent="0.3">
      <c r="A21" t="s">
        <v>523</v>
      </c>
      <c r="B21" t="s">
        <v>2</v>
      </c>
      <c r="C21" t="s">
        <v>144</v>
      </c>
      <c r="D21" t="e">
        <f>#REF!</f>
        <v>#REF!</v>
      </c>
      <c r="E21" s="10" t="e" cm="1">
        <f t="array" ref="E21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1" s="6">
        <f>MB_C[[#This Row],[time value]]*MB_C[[#This Row],[multiplicator]]</f>
        <v>-141</v>
      </c>
      <c r="G21" s="11">
        <v>-1</v>
      </c>
      <c r="H21" s="3">
        <v>141</v>
      </c>
      <c r="I21" s="12" t="s">
        <v>202</v>
      </c>
      <c r="J21" s="2" t="s">
        <v>59</v>
      </c>
      <c r="K21" s="2" t="s">
        <v>42</v>
      </c>
    </row>
    <row r="22" spans="1:11" x14ac:dyDescent="0.3">
      <c r="A22" t="s">
        <v>523</v>
      </c>
      <c r="B22" t="s">
        <v>2</v>
      </c>
      <c r="C22" t="s">
        <v>144</v>
      </c>
      <c r="D22" t="e">
        <f>#REF!</f>
        <v>#REF!</v>
      </c>
      <c r="E22" s="10" t="e" cm="1">
        <f t="array" ref="E22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2" s="6">
        <f>MB_C[[#This Row],[time value]]*MB_C[[#This Row],[multiplicator]]</f>
        <v>-140</v>
      </c>
      <c r="G22" s="11">
        <v>-1</v>
      </c>
      <c r="H22" s="3">
        <v>140</v>
      </c>
      <c r="I22" s="12" t="s">
        <v>202</v>
      </c>
      <c r="J22" s="2" t="s">
        <v>60</v>
      </c>
      <c r="K22" s="2" t="s">
        <v>11</v>
      </c>
    </row>
    <row r="23" spans="1:11" x14ac:dyDescent="0.3">
      <c r="A23" t="s">
        <v>523</v>
      </c>
      <c r="B23" t="s">
        <v>2</v>
      </c>
      <c r="C23" t="s">
        <v>144</v>
      </c>
      <c r="D23" t="e">
        <f>#REF!</f>
        <v>#REF!</v>
      </c>
      <c r="E23" s="10" t="e" cm="1">
        <f t="array" ref="E23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3" s="6">
        <f>MB_C[[#This Row],[time value]]*MB_C[[#This Row],[multiplicator]]</f>
        <v>-135</v>
      </c>
      <c r="G23" s="11">
        <v>-1</v>
      </c>
      <c r="H23" s="3">
        <v>135</v>
      </c>
      <c r="I23" s="12" t="s">
        <v>202</v>
      </c>
      <c r="J23" s="2" t="s">
        <v>61</v>
      </c>
      <c r="K23" s="2" t="s">
        <v>11</v>
      </c>
    </row>
    <row r="24" spans="1:11" x14ac:dyDescent="0.3">
      <c r="A24" t="s">
        <v>523</v>
      </c>
      <c r="B24" t="s">
        <v>2</v>
      </c>
      <c r="C24" t="s">
        <v>144</v>
      </c>
      <c r="D24" t="e">
        <f>#REF!</f>
        <v>#REF!</v>
      </c>
      <c r="E24" s="10" t="e" cm="1">
        <f t="array" ref="E24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4" s="6">
        <f>MB_C[[#This Row],[time value]]*MB_C[[#This Row],[multiplicator]]</f>
        <v>-133</v>
      </c>
      <c r="G24" s="11">
        <v>-1</v>
      </c>
      <c r="H24" s="3">
        <v>133</v>
      </c>
      <c r="I24" s="12" t="s">
        <v>202</v>
      </c>
      <c r="J24" s="2" t="s">
        <v>62</v>
      </c>
      <c r="K24" s="2" t="s">
        <v>11</v>
      </c>
    </row>
    <row r="25" spans="1:11" x14ac:dyDescent="0.3">
      <c r="A25" t="s">
        <v>523</v>
      </c>
      <c r="B25" t="s">
        <v>2</v>
      </c>
      <c r="C25" t="s">
        <v>144</v>
      </c>
      <c r="D25" t="e">
        <f>#REF!</f>
        <v>#REF!</v>
      </c>
      <c r="E25" s="10" t="e" cm="1">
        <f t="array" ref="E25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5" s="6">
        <f>MB_C[[#This Row],[time value]]*MB_C[[#This Row],[multiplicator]]</f>
        <v>-130</v>
      </c>
      <c r="G25" s="11">
        <v>-1</v>
      </c>
      <c r="H25" s="3">
        <v>130</v>
      </c>
      <c r="I25" s="12" t="s">
        <v>202</v>
      </c>
      <c r="J25" s="2" t="s">
        <v>63</v>
      </c>
      <c r="K25" s="2" t="s">
        <v>11</v>
      </c>
    </row>
    <row r="26" spans="1:11" x14ac:dyDescent="0.3">
      <c r="A26" t="s">
        <v>523</v>
      </c>
      <c r="B26" t="s">
        <v>2</v>
      </c>
      <c r="C26" t="s">
        <v>144</v>
      </c>
      <c r="D26" t="e">
        <f>#REF!</f>
        <v>#REF!</v>
      </c>
      <c r="E26" s="10" t="e" cm="1">
        <f t="array" ref="E26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6" s="6">
        <f>MB_C[[#This Row],[time value]]*MB_C[[#This Row],[multiplicator]]</f>
        <v>-125</v>
      </c>
      <c r="G26" s="11">
        <v>-1</v>
      </c>
      <c r="H26" s="3">
        <v>125</v>
      </c>
      <c r="I26" s="12" t="s">
        <v>202</v>
      </c>
      <c r="J26" s="2" t="s">
        <v>64</v>
      </c>
      <c r="K26" s="2" t="s">
        <v>11</v>
      </c>
    </row>
    <row r="27" spans="1:11" x14ac:dyDescent="0.3">
      <c r="A27" t="s">
        <v>523</v>
      </c>
      <c r="B27" t="s">
        <v>2</v>
      </c>
      <c r="C27" t="s">
        <v>144</v>
      </c>
      <c r="D27" t="e">
        <f>#REF!</f>
        <v>#REF!</v>
      </c>
      <c r="E27" s="10" t="e" cm="1">
        <f t="array" ref="E27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7" s="6">
        <f>MB_C[[#This Row],[time value]]*MB_C[[#This Row],[multiplicator]]</f>
        <v>-123</v>
      </c>
      <c r="G27" s="11">
        <v>-1</v>
      </c>
      <c r="H27" s="3">
        <v>123</v>
      </c>
      <c r="I27" s="12" t="s">
        <v>202</v>
      </c>
      <c r="J27" s="2" t="s">
        <v>65</v>
      </c>
      <c r="K27" s="2" t="s">
        <v>11</v>
      </c>
    </row>
    <row r="28" spans="1:11" x14ac:dyDescent="0.3">
      <c r="A28" t="s">
        <v>523</v>
      </c>
      <c r="B28" t="s">
        <v>2</v>
      </c>
      <c r="C28" t="s">
        <v>144</v>
      </c>
      <c r="D28" t="e">
        <f>#REF!</f>
        <v>#REF!</v>
      </c>
      <c r="E28" s="10" t="e" cm="1">
        <f t="array" ref="E28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8" s="6">
        <f>MB_C[[#This Row],[time value]]*MB_C[[#This Row],[multiplicator]]</f>
        <v>-121</v>
      </c>
      <c r="G28" s="11">
        <v>-1</v>
      </c>
      <c r="H28" s="3">
        <v>121</v>
      </c>
      <c r="I28" s="12" t="s">
        <v>202</v>
      </c>
      <c r="J28" s="2" t="s">
        <v>66</v>
      </c>
      <c r="K28" s="2" t="s">
        <v>42</v>
      </c>
    </row>
    <row r="29" spans="1:11" x14ac:dyDescent="0.3">
      <c r="A29" t="s">
        <v>523</v>
      </c>
      <c r="B29" t="s">
        <v>2</v>
      </c>
      <c r="C29" t="s">
        <v>144</v>
      </c>
      <c r="D29" t="e">
        <f>#REF!</f>
        <v>#REF!</v>
      </c>
      <c r="E29" s="10" t="e" cm="1">
        <f t="array" ref="E29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29" s="6">
        <f>MB_C[[#This Row],[time value]]*MB_C[[#This Row],[multiplicator]]</f>
        <v>-120</v>
      </c>
      <c r="G29" s="11">
        <v>-1</v>
      </c>
      <c r="H29" s="3">
        <v>120</v>
      </c>
      <c r="I29" s="12" t="s">
        <v>202</v>
      </c>
      <c r="J29" s="2" t="s">
        <v>67</v>
      </c>
      <c r="K29" s="2" t="s">
        <v>11</v>
      </c>
    </row>
    <row r="30" spans="1:11" x14ac:dyDescent="0.3">
      <c r="A30" t="s">
        <v>523</v>
      </c>
      <c r="B30" t="s">
        <v>2</v>
      </c>
      <c r="C30" t="s">
        <v>144</v>
      </c>
      <c r="D30" t="e">
        <f>#REF!</f>
        <v>#REF!</v>
      </c>
      <c r="E30" s="10" t="e" cm="1">
        <f t="array" ref="E30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0" s="6">
        <f>MB_C[[#This Row],[time value]]*MB_C[[#This Row],[multiplicator]]</f>
        <v>-115</v>
      </c>
      <c r="G30" s="11">
        <v>-1</v>
      </c>
      <c r="H30" s="3">
        <v>115</v>
      </c>
      <c r="I30" s="12" t="s">
        <v>202</v>
      </c>
      <c r="J30" s="2" t="s">
        <v>68</v>
      </c>
      <c r="K30" s="2" t="s">
        <v>11</v>
      </c>
    </row>
    <row r="31" spans="1:11" x14ac:dyDescent="0.3">
      <c r="A31" t="s">
        <v>523</v>
      </c>
      <c r="B31" t="s">
        <v>2</v>
      </c>
      <c r="C31" t="s">
        <v>144</v>
      </c>
      <c r="D31" t="e">
        <f>#REF!</f>
        <v>#REF!</v>
      </c>
      <c r="E31" s="10" t="e" cm="1">
        <f t="array" ref="E31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1" s="6">
        <f>MB_C[[#This Row],[time value]]*MB_C[[#This Row],[multiplicator]]</f>
        <v>-113</v>
      </c>
      <c r="G31" s="11">
        <v>-1</v>
      </c>
      <c r="H31" s="3">
        <v>113</v>
      </c>
      <c r="I31" s="12" t="s">
        <v>202</v>
      </c>
      <c r="J31" s="2" t="s">
        <v>69</v>
      </c>
      <c r="K31" s="2" t="s">
        <v>11</v>
      </c>
    </row>
    <row r="32" spans="1:11" x14ac:dyDescent="0.3">
      <c r="A32" t="s">
        <v>523</v>
      </c>
      <c r="B32" t="s">
        <v>2</v>
      </c>
      <c r="C32" t="s">
        <v>144</v>
      </c>
      <c r="D32" t="e">
        <f>#REF!</f>
        <v>#REF!</v>
      </c>
      <c r="E32" s="10" t="e" cm="1">
        <f t="array" ref="E32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2" s="6">
        <f>MB_C[[#This Row],[time value]]*MB_C[[#This Row],[multiplicator]]</f>
        <v>-110</v>
      </c>
      <c r="G32" s="11">
        <v>-1</v>
      </c>
      <c r="H32" s="3">
        <v>110</v>
      </c>
      <c r="I32" s="12" t="s">
        <v>202</v>
      </c>
      <c r="J32" s="2" t="s">
        <v>71</v>
      </c>
      <c r="K32" s="2" t="s">
        <v>11</v>
      </c>
    </row>
    <row r="33" spans="1:11" x14ac:dyDescent="0.3">
      <c r="A33" t="s">
        <v>523</v>
      </c>
      <c r="B33" t="s">
        <v>2</v>
      </c>
      <c r="C33" t="s">
        <v>144</v>
      </c>
      <c r="D33" t="e">
        <f>#REF!</f>
        <v>#REF!</v>
      </c>
      <c r="E33" s="10" t="e" cm="1">
        <f t="array" ref="E33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3" s="6">
        <f>MB_C[[#This Row],[time value]]*MB_C[[#This Row],[multiplicator]]</f>
        <v>-105</v>
      </c>
      <c r="G33" s="11">
        <v>-1</v>
      </c>
      <c r="H33" s="3">
        <v>105</v>
      </c>
      <c r="I33" s="12" t="s">
        <v>202</v>
      </c>
      <c r="J33" s="2" t="s">
        <v>74</v>
      </c>
      <c r="K33" s="2" t="s">
        <v>11</v>
      </c>
    </row>
    <row r="34" spans="1:11" x14ac:dyDescent="0.3">
      <c r="A34" t="s">
        <v>523</v>
      </c>
      <c r="B34" t="s">
        <v>2</v>
      </c>
      <c r="C34" t="s">
        <v>144</v>
      </c>
      <c r="D34" t="e">
        <f>#REF!</f>
        <v>#REF!</v>
      </c>
      <c r="E34" s="10" t="e" cm="1">
        <f t="array" ref="E34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4" s="6">
        <f>MB_C[[#This Row],[time value]]*MB_C[[#This Row],[multiplicator]]</f>
        <v>-103</v>
      </c>
      <c r="G34" s="11">
        <v>-1</v>
      </c>
      <c r="H34" s="3">
        <v>103</v>
      </c>
      <c r="I34" s="12" t="s">
        <v>202</v>
      </c>
      <c r="J34" s="2" t="s">
        <v>75</v>
      </c>
      <c r="K34" s="2" t="s">
        <v>11</v>
      </c>
    </row>
    <row r="35" spans="1:11" x14ac:dyDescent="0.3">
      <c r="A35" t="s">
        <v>523</v>
      </c>
      <c r="B35" t="s">
        <v>2</v>
      </c>
      <c r="C35" t="s">
        <v>144</v>
      </c>
      <c r="D35" t="e">
        <f>#REF!</f>
        <v>#REF!</v>
      </c>
      <c r="E35" s="10" t="e" cm="1">
        <f t="array" ref="E35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5" s="6">
        <f>MB_C[[#This Row],[time value]]*MB_C[[#This Row],[multiplicator]]</f>
        <v>-101</v>
      </c>
      <c r="G35" s="11">
        <v>-1</v>
      </c>
      <c r="H35" s="3">
        <v>101</v>
      </c>
      <c r="I35" s="12" t="s">
        <v>202</v>
      </c>
      <c r="J35" s="2" t="s">
        <v>76</v>
      </c>
      <c r="K35" s="2" t="s">
        <v>42</v>
      </c>
    </row>
    <row r="36" spans="1:11" x14ac:dyDescent="0.3">
      <c r="A36" t="s">
        <v>523</v>
      </c>
      <c r="B36" t="s">
        <v>2</v>
      </c>
      <c r="C36" t="s">
        <v>144</v>
      </c>
      <c r="D36" t="e">
        <f>#REF!</f>
        <v>#REF!</v>
      </c>
      <c r="E36" s="10" t="e" cm="1">
        <f t="array" ref="E36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6" s="6">
        <f>MB_C[[#This Row],[time value]]*MB_C[[#This Row],[multiplicator]]</f>
        <v>-100</v>
      </c>
      <c r="G36" s="11">
        <v>-1</v>
      </c>
      <c r="H36" s="3">
        <v>100</v>
      </c>
      <c r="I36" s="12" t="s">
        <v>202</v>
      </c>
      <c r="J36" s="2" t="s">
        <v>78</v>
      </c>
      <c r="K36" s="2" t="s">
        <v>11</v>
      </c>
    </row>
    <row r="37" spans="1:11" x14ac:dyDescent="0.3">
      <c r="A37" t="s">
        <v>523</v>
      </c>
      <c r="B37" t="s">
        <v>2</v>
      </c>
      <c r="C37" t="s">
        <v>144</v>
      </c>
      <c r="D37" t="e">
        <f>#REF!</f>
        <v>#REF!</v>
      </c>
      <c r="E37" s="10" t="e" cm="1">
        <f t="array" ref="E37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7" s="6">
        <f>MB_C[[#This Row],[time value]]*MB_C[[#This Row],[multiplicator]]</f>
        <v>-95</v>
      </c>
      <c r="G37" s="11">
        <v>-1</v>
      </c>
      <c r="H37" s="3">
        <v>95</v>
      </c>
      <c r="I37" s="12" t="s">
        <v>202</v>
      </c>
      <c r="J37" s="2" t="s">
        <v>81</v>
      </c>
      <c r="K37" s="2" t="s">
        <v>11</v>
      </c>
    </row>
    <row r="38" spans="1:11" x14ac:dyDescent="0.3">
      <c r="A38" t="s">
        <v>523</v>
      </c>
      <c r="B38" t="s">
        <v>2</v>
      </c>
      <c r="C38" t="s">
        <v>144</v>
      </c>
      <c r="D38" t="e">
        <f>#REF!</f>
        <v>#REF!</v>
      </c>
      <c r="E38" s="10" t="e" cm="1">
        <f t="array" ref="E38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8" s="6">
        <f>MB_C[[#This Row],[time value]]*MB_C[[#This Row],[multiplicator]]</f>
        <v>-93</v>
      </c>
      <c r="G38" s="11">
        <v>-1</v>
      </c>
      <c r="H38" s="3">
        <v>93</v>
      </c>
      <c r="I38" s="12" t="s">
        <v>202</v>
      </c>
      <c r="J38" s="2" t="s">
        <v>83</v>
      </c>
      <c r="K38" s="2" t="s">
        <v>11</v>
      </c>
    </row>
    <row r="39" spans="1:11" x14ac:dyDescent="0.3">
      <c r="A39" t="s">
        <v>523</v>
      </c>
      <c r="B39" t="s">
        <v>2</v>
      </c>
      <c r="C39" t="s">
        <v>144</v>
      </c>
      <c r="D39" t="e">
        <f>#REF!</f>
        <v>#REF!</v>
      </c>
      <c r="E39" s="10" t="e" cm="1">
        <f t="array" ref="E39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39" s="6">
        <f>MB_C[[#This Row],[time value]]*MB_C[[#This Row],[multiplicator]]</f>
        <v>-90</v>
      </c>
      <c r="G39" s="11">
        <v>-1</v>
      </c>
      <c r="H39" s="3">
        <v>90</v>
      </c>
      <c r="I39" s="12" t="s">
        <v>202</v>
      </c>
      <c r="J39" s="2" t="s">
        <v>85</v>
      </c>
      <c r="K39" s="2" t="s">
        <v>11</v>
      </c>
    </row>
    <row r="40" spans="1:11" x14ac:dyDescent="0.3">
      <c r="A40" t="s">
        <v>523</v>
      </c>
      <c r="B40" t="s">
        <v>2</v>
      </c>
      <c r="C40" t="s">
        <v>144</v>
      </c>
      <c r="D40" t="e">
        <f>#REF!</f>
        <v>#REF!</v>
      </c>
      <c r="E40" s="10" t="e" cm="1">
        <f t="array" ref="E40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0" s="6">
        <f>MB_C[[#This Row],[time value]]*MB_C[[#This Row],[multiplicator]]</f>
        <v>-60</v>
      </c>
      <c r="G40" s="11">
        <v>-1</v>
      </c>
      <c r="H40" s="3">
        <v>60</v>
      </c>
      <c r="I40" s="12" t="s">
        <v>202</v>
      </c>
      <c r="J40" s="2" t="s">
        <v>95</v>
      </c>
      <c r="K40" s="2" t="s">
        <v>11</v>
      </c>
    </row>
    <row r="41" spans="1:11" x14ac:dyDescent="0.3">
      <c r="A41" t="s">
        <v>523</v>
      </c>
      <c r="B41" t="s">
        <v>2</v>
      </c>
      <c r="C41" t="s">
        <v>144</v>
      </c>
      <c r="D41" t="e">
        <f>#REF!</f>
        <v>#REF!</v>
      </c>
      <c r="E41" s="10" t="e" cm="1">
        <f t="array" ref="E41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1" s="6">
        <f>MB_C[[#This Row],[time value]]*MB_C[[#This Row],[multiplicator]]</f>
        <v>0</v>
      </c>
      <c r="G41" s="3">
        <v>1</v>
      </c>
      <c r="H41" s="3">
        <v>0</v>
      </c>
      <c r="I41" s="12" t="s">
        <v>202</v>
      </c>
      <c r="J41" s="2" t="s">
        <v>125</v>
      </c>
      <c r="K41" s="2"/>
    </row>
    <row r="42" spans="1:11" x14ac:dyDescent="0.3">
      <c r="A42" t="s">
        <v>523</v>
      </c>
      <c r="B42" t="s">
        <v>2</v>
      </c>
      <c r="C42" t="s">
        <v>144</v>
      </c>
      <c r="D42" t="e">
        <f>#REF!</f>
        <v>#REF!</v>
      </c>
      <c r="E42" s="10" t="e" cm="1">
        <f t="array" ref="E42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2" s="6">
        <f>MB_C[[#This Row],[time value]]*MB_C[[#This Row],[multiplicator]]</f>
        <v>0</v>
      </c>
      <c r="G42" s="3">
        <v>1</v>
      </c>
      <c r="H42" s="3">
        <v>0</v>
      </c>
      <c r="I42" s="12" t="s">
        <v>202</v>
      </c>
      <c r="J42" s="2" t="s">
        <v>132</v>
      </c>
      <c r="K42" s="2" t="s">
        <v>131</v>
      </c>
    </row>
    <row r="43" spans="1:11" x14ac:dyDescent="0.3">
      <c r="A43" t="s">
        <v>523</v>
      </c>
      <c r="B43" t="s">
        <v>2</v>
      </c>
      <c r="C43" t="s">
        <v>144</v>
      </c>
      <c r="D43" t="e">
        <f>#REF!</f>
        <v>#REF!</v>
      </c>
      <c r="E43" s="10" t="e" cm="1">
        <f t="array" ref="E43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3" s="6">
        <f>MB_C[[#This Row],[time value]]*MB_C[[#This Row],[multiplicator]]</f>
        <v>45</v>
      </c>
      <c r="G43" s="3">
        <v>1</v>
      </c>
      <c r="H43" s="3">
        <v>45</v>
      </c>
      <c r="I43" s="12" t="s">
        <v>202</v>
      </c>
      <c r="J43" s="2" t="s">
        <v>139</v>
      </c>
      <c r="K43" s="2"/>
    </row>
    <row r="44" spans="1:11" x14ac:dyDescent="0.3">
      <c r="A44" t="s">
        <v>523</v>
      </c>
      <c r="B44" t="s">
        <v>2</v>
      </c>
      <c r="C44" t="s">
        <v>144</v>
      </c>
      <c r="D44" t="e">
        <f>#REF!</f>
        <v>#REF!</v>
      </c>
      <c r="E44" s="10" t="e" cm="1">
        <f t="array" ref="E44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4" s="6">
        <f>MB_C[[#This Row],[time value]]*MB_C[[#This Row],[multiplicator]]</f>
        <v>60</v>
      </c>
      <c r="G44" s="3">
        <v>1</v>
      </c>
      <c r="H44" s="3">
        <v>60</v>
      </c>
      <c r="I44" s="12" t="s">
        <v>202</v>
      </c>
      <c r="J44" s="2" t="s">
        <v>132</v>
      </c>
      <c r="K44" s="2" t="s">
        <v>131</v>
      </c>
    </row>
    <row r="45" spans="1:11" x14ac:dyDescent="0.3">
      <c r="A45" t="s">
        <v>523</v>
      </c>
      <c r="B45" t="s">
        <v>2</v>
      </c>
      <c r="C45" t="s">
        <v>144</v>
      </c>
      <c r="D45" t="e">
        <f>#REF!</f>
        <v>#REF!</v>
      </c>
      <c r="E45" s="10" t="e" cm="1">
        <f t="array" ref="E45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5" s="6">
        <f>MB_C[[#This Row],[time value]]*MB_C[[#This Row],[multiplicator]]</f>
        <v>0</v>
      </c>
      <c r="G45" s="3">
        <v>1</v>
      </c>
      <c r="H45" s="3"/>
      <c r="I45" s="14" t="s">
        <v>494</v>
      </c>
      <c r="J45" s="2" t="s">
        <v>143</v>
      </c>
      <c r="K45" s="2"/>
    </row>
    <row r="46" spans="1:11" x14ac:dyDescent="0.3">
      <c r="A46" t="s">
        <v>523</v>
      </c>
      <c r="B46" t="s">
        <v>2</v>
      </c>
      <c r="C46" t="s">
        <v>144</v>
      </c>
      <c r="D46" t="e">
        <f>#REF!</f>
        <v>#REF!</v>
      </c>
      <c r="E46" s="10" t="e" cm="1">
        <f t="array" ref="E46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6" s="6">
        <f>MB_C[[#This Row],[time value]]*MB_C[[#This Row],[multiplicator]]</f>
        <v>15</v>
      </c>
      <c r="G46" s="11">
        <v>1</v>
      </c>
      <c r="H46" s="3">
        <v>15</v>
      </c>
      <c r="I46" s="12" t="s">
        <v>494</v>
      </c>
      <c r="J46" s="2" t="s">
        <v>148</v>
      </c>
      <c r="K46" s="2" t="s">
        <v>11</v>
      </c>
    </row>
    <row r="47" spans="1:11" x14ac:dyDescent="0.3">
      <c r="A47" t="s">
        <v>523</v>
      </c>
      <c r="B47" t="s">
        <v>2</v>
      </c>
      <c r="C47" t="s">
        <v>144</v>
      </c>
      <c r="D47" t="e">
        <f>#REF!</f>
        <v>#REF!</v>
      </c>
      <c r="E47" s="10" t="e" cm="1">
        <f t="array" ref="E47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7" s="6">
        <f>MB_C[[#This Row],[time value]]*MB_C[[#This Row],[multiplicator]]</f>
        <v>20</v>
      </c>
      <c r="G47" s="11">
        <v>1</v>
      </c>
      <c r="H47" s="3">
        <v>20</v>
      </c>
      <c r="I47" s="11" t="s">
        <v>494</v>
      </c>
      <c r="J47" s="2" t="s">
        <v>153</v>
      </c>
      <c r="K47" s="2" t="s">
        <v>11</v>
      </c>
    </row>
    <row r="48" spans="1:11" x14ac:dyDescent="0.3">
      <c r="A48" t="s">
        <v>523</v>
      </c>
      <c r="B48" t="s">
        <v>2</v>
      </c>
      <c r="C48" t="s">
        <v>144</v>
      </c>
      <c r="D48" t="e">
        <f>#REF!</f>
        <v>#REF!</v>
      </c>
      <c r="E48" s="10" t="e" cm="1">
        <f t="array" ref="E48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8" s="6">
        <f>MB_C[[#This Row],[time value]]*MB_C[[#This Row],[multiplicator]]</f>
        <v>25</v>
      </c>
      <c r="G48" s="11">
        <v>1</v>
      </c>
      <c r="H48" s="3">
        <v>25</v>
      </c>
      <c r="I48" s="11" t="s">
        <v>494</v>
      </c>
      <c r="J48" s="2" t="s">
        <v>155</v>
      </c>
      <c r="K48" s="2" t="s">
        <v>11</v>
      </c>
    </row>
    <row r="49" spans="1:11" x14ac:dyDescent="0.3">
      <c r="A49" t="s">
        <v>523</v>
      </c>
      <c r="B49" t="s">
        <v>2</v>
      </c>
      <c r="C49" t="s">
        <v>144</v>
      </c>
      <c r="D49" t="e">
        <f>#REF!</f>
        <v>#REF!</v>
      </c>
      <c r="E49" s="10" t="e" cm="1">
        <f t="array" ref="E49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49" s="6">
        <f>MB_C[[#This Row],[time value]]*MB_C[[#This Row],[multiplicator]]</f>
        <v>30</v>
      </c>
      <c r="G49" s="11">
        <v>1</v>
      </c>
      <c r="H49" s="3">
        <v>30</v>
      </c>
      <c r="I49" s="11" t="s">
        <v>494</v>
      </c>
      <c r="J49" s="2" t="s">
        <v>158</v>
      </c>
      <c r="K49" s="2" t="s">
        <v>11</v>
      </c>
    </row>
    <row r="50" spans="1:11" x14ac:dyDescent="0.3">
      <c r="A50" t="s">
        <v>523</v>
      </c>
      <c r="B50" t="s">
        <v>2</v>
      </c>
      <c r="C50" t="s">
        <v>144</v>
      </c>
      <c r="D50" t="e">
        <f>#REF!</f>
        <v>#REF!</v>
      </c>
      <c r="E50" s="10" t="e" cm="1">
        <f t="array" ref="E50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0" s="6">
        <f>MB_C[[#This Row],[time value]]*MB_C[[#This Row],[multiplicator]]</f>
        <v>35</v>
      </c>
      <c r="G50" s="11">
        <v>1</v>
      </c>
      <c r="H50" s="3">
        <v>35</v>
      </c>
      <c r="I50" s="11" t="s">
        <v>494</v>
      </c>
      <c r="J50" s="2" t="s">
        <v>161</v>
      </c>
      <c r="K50" s="2" t="s">
        <v>11</v>
      </c>
    </row>
    <row r="51" spans="1:11" x14ac:dyDescent="0.3">
      <c r="A51" t="s">
        <v>523</v>
      </c>
      <c r="B51" t="s">
        <v>2</v>
      </c>
      <c r="C51" t="s">
        <v>144</v>
      </c>
      <c r="D51" t="e">
        <f>#REF!</f>
        <v>#REF!</v>
      </c>
      <c r="E51" s="10" t="e" cm="1">
        <f t="array" ref="E51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1" s="6">
        <f>MB_C[[#This Row],[time value]]*MB_C[[#This Row],[multiplicator]]</f>
        <v>20</v>
      </c>
      <c r="G51" s="11">
        <v>1</v>
      </c>
      <c r="H51" s="3">
        <v>20</v>
      </c>
      <c r="I51" s="11" t="s">
        <v>494</v>
      </c>
      <c r="J51" s="2" t="s">
        <v>154</v>
      </c>
      <c r="K51" s="2" t="s">
        <v>11</v>
      </c>
    </row>
    <row r="52" spans="1:11" x14ac:dyDescent="0.3">
      <c r="A52" t="s">
        <v>523</v>
      </c>
      <c r="B52" t="s">
        <v>2</v>
      </c>
      <c r="C52" t="s">
        <v>144</v>
      </c>
      <c r="D52" t="e">
        <f>#REF!</f>
        <v>#REF!</v>
      </c>
      <c r="E52" s="10" t="e" cm="1">
        <f t="array" ref="E52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2" s="6">
        <f>MB_C[[#This Row],[time value]]*MB_C[[#This Row],[multiplicator]]</f>
        <v>25</v>
      </c>
      <c r="G52" s="11">
        <v>1</v>
      </c>
      <c r="H52" s="3">
        <v>25</v>
      </c>
      <c r="I52" s="11" t="s">
        <v>494</v>
      </c>
      <c r="J52" s="2" t="s">
        <v>156</v>
      </c>
      <c r="K52" s="2" t="s">
        <v>11</v>
      </c>
    </row>
    <row r="53" spans="1:11" x14ac:dyDescent="0.3">
      <c r="A53" t="s">
        <v>523</v>
      </c>
      <c r="B53" t="s">
        <v>2</v>
      </c>
      <c r="C53" t="s">
        <v>144</v>
      </c>
      <c r="D53" t="e">
        <f>#REF!</f>
        <v>#REF!</v>
      </c>
      <c r="E53" s="10" t="e" cm="1">
        <f t="array" ref="E53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3" s="6">
        <f>MB_C[[#This Row],[time value]]*MB_C[[#This Row],[multiplicator]]</f>
        <v>30</v>
      </c>
      <c r="G53" s="11">
        <v>1</v>
      </c>
      <c r="H53" s="3">
        <v>30</v>
      </c>
      <c r="I53" s="11" t="s">
        <v>494</v>
      </c>
      <c r="J53" s="2" t="s">
        <v>159</v>
      </c>
      <c r="K53" s="2" t="s">
        <v>11</v>
      </c>
    </row>
    <row r="54" spans="1:11" x14ac:dyDescent="0.3">
      <c r="A54" t="s">
        <v>523</v>
      </c>
      <c r="B54" t="s">
        <v>2</v>
      </c>
      <c r="C54" t="s">
        <v>144</v>
      </c>
      <c r="D54" t="e">
        <f>#REF!</f>
        <v>#REF!</v>
      </c>
      <c r="E54" s="10" t="e" cm="1">
        <f t="array" ref="E54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4" s="6">
        <f>MB_C[[#This Row],[time value]]*MB_C[[#This Row],[multiplicator]]</f>
        <v>35</v>
      </c>
      <c r="G54" s="11">
        <v>1</v>
      </c>
      <c r="H54" s="3">
        <v>35</v>
      </c>
      <c r="I54" s="11" t="s">
        <v>494</v>
      </c>
      <c r="J54" s="2" t="s">
        <v>162</v>
      </c>
      <c r="K54" s="2" t="s">
        <v>11</v>
      </c>
    </row>
    <row r="55" spans="1:11" x14ac:dyDescent="0.3">
      <c r="A55" t="s">
        <v>523</v>
      </c>
      <c r="B55" t="s">
        <v>2</v>
      </c>
      <c r="C55" t="s">
        <v>144</v>
      </c>
      <c r="D55" t="e">
        <f>#REF!</f>
        <v>#REF!</v>
      </c>
      <c r="E55" s="10" t="e" cm="1">
        <f t="array" ref="E55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5" s="6">
        <f>MB_C[[#This Row],[time value]]*MB_C[[#This Row],[multiplicator]]</f>
        <v>40</v>
      </c>
      <c r="G55" s="11">
        <v>1</v>
      </c>
      <c r="H55" s="3">
        <v>40</v>
      </c>
      <c r="I55" s="11" t="s">
        <v>494</v>
      </c>
      <c r="J55" s="2" t="s">
        <v>165</v>
      </c>
      <c r="K55" s="2" t="s">
        <v>11</v>
      </c>
    </row>
    <row r="56" spans="1:11" x14ac:dyDescent="0.3">
      <c r="A56" t="s">
        <v>523</v>
      </c>
      <c r="B56" t="s">
        <v>2</v>
      </c>
      <c r="C56" t="s">
        <v>144</v>
      </c>
      <c r="D56" t="e">
        <f>#REF!</f>
        <v>#REF!</v>
      </c>
      <c r="E56" s="10" t="e" cm="1">
        <f t="array" ref="E56">_xlfn.IFS(MB_C[[#This Row],[reference wisle]]="KO",#REF!+(MB_C[[#This Row],[Time to KO]]/1440),MB_C[[#This Row],[reference wisle]]="FW",#REF!+(MB_C[[#This Row],[Time to KO]]/1440),MB_C[[#This Row],[reference wisle]]="EOD","End of Day")</f>
        <v>#REF!</v>
      </c>
      <c r="F56" s="6">
        <f>MB_C[[#This Row],[time value]]*MB_C[[#This Row],[multiplicator]]</f>
        <v>45</v>
      </c>
      <c r="G56" s="11">
        <v>1</v>
      </c>
      <c r="H56" s="3">
        <v>45</v>
      </c>
      <c r="I56" s="11" t="s">
        <v>494</v>
      </c>
      <c r="J56" s="2" t="s">
        <v>167</v>
      </c>
      <c r="K56" s="2" t="s">
        <v>42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874A-63E5-4039-95E6-5463EEF6A183}">
  <sheetPr>
    <tabColor theme="2" tint="-9.9978637043366805E-2"/>
  </sheetPr>
  <dimension ref="A1:K56"/>
  <sheetViews>
    <sheetView workbookViewId="0">
      <selection activeCell="H2" sqref="H2"/>
    </sheetView>
  </sheetViews>
  <sheetFormatPr defaultColWidth="11" defaultRowHeight="15.6" x14ac:dyDescent="0.3"/>
  <cols>
    <col min="1" max="1" width="12.5" bestFit="1" customWidth="1"/>
    <col min="2" max="4" width="12.5" customWidth="1"/>
    <col min="5" max="5" width="12.5" style="10" customWidth="1"/>
    <col min="6" max="9" width="13.09765625" style="1" customWidth="1"/>
    <col min="10" max="10" width="66.8984375" bestFit="1" customWidth="1"/>
    <col min="11" max="11" width="31.898437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10" t="s">
        <v>6</v>
      </c>
      <c r="F1" s="1" t="s">
        <v>5</v>
      </c>
      <c r="G1" s="17" t="s">
        <v>489</v>
      </c>
      <c r="H1" s="17" t="s">
        <v>490</v>
      </c>
      <c r="I1" s="1" t="s">
        <v>491</v>
      </c>
      <c r="J1" t="s">
        <v>7</v>
      </c>
      <c r="K1" t="s">
        <v>8</v>
      </c>
    </row>
    <row r="2" spans="1:11" x14ac:dyDescent="0.3">
      <c r="A2" t="s">
        <v>523</v>
      </c>
      <c r="B2" t="s">
        <v>2</v>
      </c>
      <c r="C2" t="s">
        <v>170</v>
      </c>
      <c r="D2" t="e">
        <f>#REF!</f>
        <v>#REF!</v>
      </c>
      <c r="E2" s="10" t="e" cm="1">
        <f t="array" ref="E2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" s="6">
        <f>MB_D[[#This Row],[time value]]*MB_D[[#This Row],[multiplicator]]</f>
        <v>-195</v>
      </c>
      <c r="G2" s="11">
        <v>-1</v>
      </c>
      <c r="H2" s="11">
        <v>195</v>
      </c>
      <c r="I2" s="12" t="s">
        <v>202</v>
      </c>
      <c r="J2" s="2" t="s">
        <v>35</v>
      </c>
      <c r="K2" s="2" t="s">
        <v>11</v>
      </c>
    </row>
    <row r="3" spans="1:11" ht="46.8" x14ac:dyDescent="0.3">
      <c r="A3" t="s">
        <v>523</v>
      </c>
      <c r="B3" t="s">
        <v>2</v>
      </c>
      <c r="C3" t="s">
        <v>170</v>
      </c>
      <c r="D3" t="e">
        <f>#REF!</f>
        <v>#REF!</v>
      </c>
      <c r="E3" s="10" t="e" cm="1">
        <f t="array" ref="E3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" s="6">
        <f>MB_D[[#This Row],[time value]]*MB_D[[#This Row],[multiplicator]]</f>
        <v>-190</v>
      </c>
      <c r="G3" s="11">
        <v>-1</v>
      </c>
      <c r="H3" s="3">
        <v>190</v>
      </c>
      <c r="I3" s="12" t="s">
        <v>202</v>
      </c>
      <c r="J3" s="22" t="s">
        <v>36</v>
      </c>
      <c r="K3" s="2" t="s">
        <v>37</v>
      </c>
    </row>
    <row r="4" spans="1:11" x14ac:dyDescent="0.3">
      <c r="A4" t="s">
        <v>523</v>
      </c>
      <c r="B4" t="s">
        <v>2</v>
      </c>
      <c r="C4" t="s">
        <v>170</v>
      </c>
      <c r="D4" t="e">
        <f>#REF!</f>
        <v>#REF!</v>
      </c>
      <c r="E4" s="10" t="e" cm="1">
        <f t="array" ref="E4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" s="6">
        <f>MB_D[[#This Row],[time value]]*MB_D[[#This Row],[multiplicator]]</f>
        <v>-190</v>
      </c>
      <c r="G4" s="11">
        <v>-1</v>
      </c>
      <c r="H4" s="3">
        <v>190</v>
      </c>
      <c r="I4" s="12" t="s">
        <v>202</v>
      </c>
      <c r="J4" s="2" t="s">
        <v>38</v>
      </c>
      <c r="K4" s="2" t="s">
        <v>11</v>
      </c>
    </row>
    <row r="5" spans="1:11" x14ac:dyDescent="0.3">
      <c r="A5" t="s">
        <v>523</v>
      </c>
      <c r="B5" t="s">
        <v>2</v>
      </c>
      <c r="C5" t="s">
        <v>170</v>
      </c>
      <c r="D5" t="e">
        <f>#REF!</f>
        <v>#REF!</v>
      </c>
      <c r="E5" s="10" t="e" cm="1">
        <f t="array" ref="E5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" s="6">
        <f>MB_D[[#This Row],[time value]]*MB_D[[#This Row],[multiplicator]]</f>
        <v>-185</v>
      </c>
      <c r="G5" s="11">
        <v>-1</v>
      </c>
      <c r="H5" s="3">
        <v>185</v>
      </c>
      <c r="I5" s="12" t="s">
        <v>202</v>
      </c>
      <c r="J5" s="2" t="s">
        <v>39</v>
      </c>
      <c r="K5" s="2" t="s">
        <v>11</v>
      </c>
    </row>
    <row r="6" spans="1:11" x14ac:dyDescent="0.3">
      <c r="A6" t="s">
        <v>523</v>
      </c>
      <c r="B6" t="s">
        <v>2</v>
      </c>
      <c r="C6" t="s">
        <v>170</v>
      </c>
      <c r="D6" t="e">
        <f>#REF!</f>
        <v>#REF!</v>
      </c>
      <c r="E6" s="10" t="e" cm="1">
        <f t="array" ref="E6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6" s="6">
        <f>MB_D[[#This Row],[time value]]*MB_D[[#This Row],[multiplicator]]</f>
        <v>-183</v>
      </c>
      <c r="G6" s="11">
        <v>-1</v>
      </c>
      <c r="H6" s="3">
        <v>183</v>
      </c>
      <c r="I6" s="12" t="s">
        <v>202</v>
      </c>
      <c r="J6" s="2" t="s">
        <v>40</v>
      </c>
      <c r="K6" s="2" t="s">
        <v>11</v>
      </c>
    </row>
    <row r="7" spans="1:11" x14ac:dyDescent="0.3">
      <c r="A7" t="s">
        <v>523</v>
      </c>
      <c r="B7" t="s">
        <v>2</v>
      </c>
      <c r="C7" t="s">
        <v>170</v>
      </c>
      <c r="D7" t="e">
        <f>#REF!</f>
        <v>#REF!</v>
      </c>
      <c r="E7" s="10" t="e" cm="1">
        <f t="array" ref="E7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7" s="6">
        <f>MB_D[[#This Row],[time value]]*MB_D[[#This Row],[multiplicator]]</f>
        <v>-181</v>
      </c>
      <c r="G7" s="11">
        <v>-1</v>
      </c>
      <c r="H7" s="3">
        <v>181</v>
      </c>
      <c r="I7" s="12" t="s">
        <v>202</v>
      </c>
      <c r="J7" s="2" t="s">
        <v>41</v>
      </c>
      <c r="K7" s="2" t="s">
        <v>42</v>
      </c>
    </row>
    <row r="8" spans="1:11" x14ac:dyDescent="0.3">
      <c r="A8" t="s">
        <v>523</v>
      </c>
      <c r="B8" t="s">
        <v>2</v>
      </c>
      <c r="C8" t="s">
        <v>170</v>
      </c>
      <c r="D8" t="e">
        <f>#REF!</f>
        <v>#REF!</v>
      </c>
      <c r="E8" s="10" t="e" cm="1">
        <f t="array" ref="E8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8" s="6">
        <f>MB_D[[#This Row],[time value]]*MB_D[[#This Row],[multiplicator]]</f>
        <v>-180</v>
      </c>
      <c r="G8" s="11">
        <v>-1</v>
      </c>
      <c r="H8" s="3">
        <v>180</v>
      </c>
      <c r="I8" s="12" t="s">
        <v>202</v>
      </c>
      <c r="J8" s="2" t="s">
        <v>43</v>
      </c>
      <c r="K8" s="2" t="s">
        <v>11</v>
      </c>
    </row>
    <row r="9" spans="1:11" x14ac:dyDescent="0.3">
      <c r="A9" t="s">
        <v>523</v>
      </c>
      <c r="B9" t="s">
        <v>2</v>
      </c>
      <c r="C9" t="s">
        <v>170</v>
      </c>
      <c r="D9" t="e">
        <f>#REF!</f>
        <v>#REF!</v>
      </c>
      <c r="E9" s="10" t="e" cm="1">
        <f t="array" ref="E9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9" s="6">
        <f>MB_D[[#This Row],[time value]]*MB_D[[#This Row],[multiplicator]]</f>
        <v>-175</v>
      </c>
      <c r="G9" s="11">
        <v>-1</v>
      </c>
      <c r="H9" s="3">
        <v>175</v>
      </c>
      <c r="I9" s="12" t="s">
        <v>202</v>
      </c>
      <c r="J9" s="2" t="s">
        <v>44</v>
      </c>
      <c r="K9" s="2" t="s">
        <v>11</v>
      </c>
    </row>
    <row r="10" spans="1:11" x14ac:dyDescent="0.3">
      <c r="A10" t="s">
        <v>523</v>
      </c>
      <c r="B10" t="s">
        <v>2</v>
      </c>
      <c r="C10" t="s">
        <v>170</v>
      </c>
      <c r="D10" t="e">
        <f>#REF!</f>
        <v>#REF!</v>
      </c>
      <c r="E10" s="10" t="e" cm="1">
        <f t="array" ref="E10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0" s="6">
        <f>MB_D[[#This Row],[time value]]*MB_D[[#This Row],[multiplicator]]</f>
        <v>-173</v>
      </c>
      <c r="G10" s="11">
        <v>-1</v>
      </c>
      <c r="H10" s="3">
        <v>173</v>
      </c>
      <c r="I10" s="12" t="s">
        <v>202</v>
      </c>
      <c r="J10" s="2" t="s">
        <v>45</v>
      </c>
      <c r="K10" s="2" t="s">
        <v>11</v>
      </c>
    </row>
    <row r="11" spans="1:11" x14ac:dyDescent="0.3">
      <c r="A11" t="s">
        <v>523</v>
      </c>
      <c r="B11" t="s">
        <v>2</v>
      </c>
      <c r="C11" t="s">
        <v>170</v>
      </c>
      <c r="D11" t="e">
        <f>#REF!</f>
        <v>#REF!</v>
      </c>
      <c r="E11" s="10" t="e" cm="1">
        <f t="array" ref="E11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1" s="6">
        <f>MB_D[[#This Row],[time value]]*MB_D[[#This Row],[multiplicator]]</f>
        <v>-170</v>
      </c>
      <c r="G11" s="11">
        <v>-1</v>
      </c>
      <c r="H11" s="3">
        <v>170</v>
      </c>
      <c r="I11" s="12" t="s">
        <v>202</v>
      </c>
      <c r="J11" s="2" t="s">
        <v>46</v>
      </c>
      <c r="K11" s="2" t="s">
        <v>11</v>
      </c>
    </row>
    <row r="12" spans="1:11" x14ac:dyDescent="0.3">
      <c r="A12" t="s">
        <v>523</v>
      </c>
      <c r="B12" t="s">
        <v>2</v>
      </c>
      <c r="C12" t="s">
        <v>170</v>
      </c>
      <c r="D12" t="e">
        <f>#REF!</f>
        <v>#REF!</v>
      </c>
      <c r="E12" s="10" t="e" cm="1">
        <f t="array" ref="E12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2" s="6">
        <f>MB_D[[#This Row],[time value]]*MB_D[[#This Row],[multiplicator]]</f>
        <v>-165</v>
      </c>
      <c r="G12" s="11">
        <v>-1</v>
      </c>
      <c r="H12" s="3">
        <v>165</v>
      </c>
      <c r="I12" s="12" t="s">
        <v>202</v>
      </c>
      <c r="J12" s="2" t="s">
        <v>47</v>
      </c>
      <c r="K12" s="2" t="s">
        <v>11</v>
      </c>
    </row>
    <row r="13" spans="1:11" x14ac:dyDescent="0.3">
      <c r="A13" t="s">
        <v>523</v>
      </c>
      <c r="B13" t="s">
        <v>2</v>
      </c>
      <c r="C13" t="s">
        <v>170</v>
      </c>
      <c r="D13" t="e">
        <f>#REF!</f>
        <v>#REF!</v>
      </c>
      <c r="E13" s="10" t="e" cm="1">
        <f t="array" ref="E13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3" s="6">
        <f>MB_D[[#This Row],[time value]]*MB_D[[#This Row],[multiplicator]]</f>
        <v>-163</v>
      </c>
      <c r="G13" s="11">
        <v>-1</v>
      </c>
      <c r="H13" s="3">
        <v>163</v>
      </c>
      <c r="I13" s="12" t="s">
        <v>202</v>
      </c>
      <c r="J13" s="2" t="s">
        <v>48</v>
      </c>
      <c r="K13" s="2" t="s">
        <v>11</v>
      </c>
    </row>
    <row r="14" spans="1:11" x14ac:dyDescent="0.3">
      <c r="A14" t="s">
        <v>523</v>
      </c>
      <c r="B14" t="s">
        <v>2</v>
      </c>
      <c r="C14" t="s">
        <v>170</v>
      </c>
      <c r="D14" t="e">
        <f>#REF!</f>
        <v>#REF!</v>
      </c>
      <c r="E14" s="10" t="e" cm="1">
        <f t="array" ref="E14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4" s="6">
        <f>MB_D[[#This Row],[time value]]*MB_D[[#This Row],[multiplicator]]</f>
        <v>-161</v>
      </c>
      <c r="G14" s="11">
        <v>-1</v>
      </c>
      <c r="H14" s="3">
        <v>161</v>
      </c>
      <c r="I14" s="12" t="s">
        <v>202</v>
      </c>
      <c r="J14" s="2" t="s">
        <v>49</v>
      </c>
      <c r="K14" s="2" t="s">
        <v>42</v>
      </c>
    </row>
    <row r="15" spans="1:11" x14ac:dyDescent="0.3">
      <c r="A15" t="s">
        <v>523</v>
      </c>
      <c r="B15" t="s">
        <v>2</v>
      </c>
      <c r="C15" t="s">
        <v>170</v>
      </c>
      <c r="D15" t="e">
        <f>#REF!</f>
        <v>#REF!</v>
      </c>
      <c r="E15" s="10" t="e" cm="1">
        <f t="array" ref="E15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5" s="6">
        <f>MB_D[[#This Row],[time value]]*MB_D[[#This Row],[multiplicator]]</f>
        <v>-160</v>
      </c>
      <c r="G15" s="11">
        <v>-1</v>
      </c>
      <c r="H15" s="3">
        <v>160</v>
      </c>
      <c r="I15" s="12" t="s">
        <v>202</v>
      </c>
      <c r="J15" s="2" t="s">
        <v>50</v>
      </c>
      <c r="K15" s="2" t="s">
        <v>11</v>
      </c>
    </row>
    <row r="16" spans="1:11" x14ac:dyDescent="0.3">
      <c r="A16" t="s">
        <v>523</v>
      </c>
      <c r="B16" t="s">
        <v>2</v>
      </c>
      <c r="C16" t="s">
        <v>170</v>
      </c>
      <c r="D16" t="e">
        <f>#REF!</f>
        <v>#REF!</v>
      </c>
      <c r="E16" s="10" t="e" cm="1">
        <f t="array" ref="E16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6" s="6">
        <f>MB_D[[#This Row],[time value]]*MB_D[[#This Row],[multiplicator]]</f>
        <v>-155</v>
      </c>
      <c r="G16" s="11">
        <v>-1</v>
      </c>
      <c r="H16" s="3">
        <v>155</v>
      </c>
      <c r="I16" s="12" t="s">
        <v>202</v>
      </c>
      <c r="J16" s="2" t="s">
        <v>52</v>
      </c>
      <c r="K16" s="2" t="s">
        <v>11</v>
      </c>
    </row>
    <row r="17" spans="1:11" x14ac:dyDescent="0.3">
      <c r="A17" t="s">
        <v>523</v>
      </c>
      <c r="B17" t="s">
        <v>2</v>
      </c>
      <c r="C17" t="s">
        <v>170</v>
      </c>
      <c r="D17" t="e">
        <f>#REF!</f>
        <v>#REF!</v>
      </c>
      <c r="E17" s="10" t="e" cm="1">
        <f t="array" ref="E17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7" s="6">
        <f>MB_D[[#This Row],[time value]]*MB_D[[#This Row],[multiplicator]]</f>
        <v>-153</v>
      </c>
      <c r="G17" s="11">
        <v>-1</v>
      </c>
      <c r="H17" s="3">
        <v>153</v>
      </c>
      <c r="I17" s="12" t="s">
        <v>202</v>
      </c>
      <c r="J17" s="2" t="s">
        <v>53</v>
      </c>
      <c r="K17" s="2" t="s">
        <v>11</v>
      </c>
    </row>
    <row r="18" spans="1:11" x14ac:dyDescent="0.3">
      <c r="A18" t="s">
        <v>523</v>
      </c>
      <c r="B18" t="s">
        <v>2</v>
      </c>
      <c r="C18" t="s">
        <v>170</v>
      </c>
      <c r="D18" t="e">
        <f>#REF!</f>
        <v>#REF!</v>
      </c>
      <c r="E18" s="10" t="e" cm="1">
        <f t="array" ref="E18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8" s="6">
        <f>MB_D[[#This Row],[time value]]*MB_D[[#This Row],[multiplicator]]</f>
        <v>-150</v>
      </c>
      <c r="G18" s="11">
        <v>-1</v>
      </c>
      <c r="H18" s="3">
        <v>150</v>
      </c>
      <c r="I18" s="12" t="s">
        <v>202</v>
      </c>
      <c r="J18" s="2" t="s">
        <v>56</v>
      </c>
      <c r="K18" s="2" t="s">
        <v>11</v>
      </c>
    </row>
    <row r="19" spans="1:11" x14ac:dyDescent="0.3">
      <c r="A19" t="s">
        <v>523</v>
      </c>
      <c r="B19" t="s">
        <v>2</v>
      </c>
      <c r="C19" t="s">
        <v>170</v>
      </c>
      <c r="D19" t="e">
        <f>#REF!</f>
        <v>#REF!</v>
      </c>
      <c r="E19" s="10" t="e" cm="1">
        <f t="array" ref="E19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19" s="6">
        <f>MB_D[[#This Row],[time value]]*MB_D[[#This Row],[multiplicator]]</f>
        <v>-145</v>
      </c>
      <c r="G19" s="11">
        <v>-1</v>
      </c>
      <c r="H19" s="3">
        <v>145</v>
      </c>
      <c r="I19" s="12" t="s">
        <v>202</v>
      </c>
      <c r="J19" s="2" t="s">
        <v>57</v>
      </c>
      <c r="K19" s="2" t="s">
        <v>11</v>
      </c>
    </row>
    <row r="20" spans="1:11" x14ac:dyDescent="0.3">
      <c r="A20" t="s">
        <v>523</v>
      </c>
      <c r="B20" t="s">
        <v>2</v>
      </c>
      <c r="C20" t="s">
        <v>170</v>
      </c>
      <c r="D20" t="e">
        <f>#REF!</f>
        <v>#REF!</v>
      </c>
      <c r="E20" s="10" t="e" cm="1">
        <f t="array" ref="E20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0" s="6">
        <f>MB_D[[#This Row],[time value]]*MB_D[[#This Row],[multiplicator]]</f>
        <v>-143</v>
      </c>
      <c r="G20" s="11">
        <v>-1</v>
      </c>
      <c r="H20" s="3">
        <v>143</v>
      </c>
      <c r="I20" s="12" t="s">
        <v>202</v>
      </c>
      <c r="J20" s="2" t="s">
        <v>58</v>
      </c>
      <c r="K20" s="2" t="s">
        <v>11</v>
      </c>
    </row>
    <row r="21" spans="1:11" x14ac:dyDescent="0.3">
      <c r="A21" t="s">
        <v>523</v>
      </c>
      <c r="B21" t="s">
        <v>2</v>
      </c>
      <c r="C21" t="s">
        <v>170</v>
      </c>
      <c r="D21" t="e">
        <f>#REF!</f>
        <v>#REF!</v>
      </c>
      <c r="E21" s="10" t="e" cm="1">
        <f t="array" ref="E21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1" s="6">
        <f>MB_D[[#This Row],[time value]]*MB_D[[#This Row],[multiplicator]]</f>
        <v>-141</v>
      </c>
      <c r="G21" s="11">
        <v>-1</v>
      </c>
      <c r="H21" s="3">
        <v>141</v>
      </c>
      <c r="I21" s="12" t="s">
        <v>202</v>
      </c>
      <c r="J21" s="2" t="s">
        <v>59</v>
      </c>
      <c r="K21" s="2" t="s">
        <v>42</v>
      </c>
    </row>
    <row r="22" spans="1:11" x14ac:dyDescent="0.3">
      <c r="A22" t="s">
        <v>523</v>
      </c>
      <c r="B22" t="s">
        <v>2</v>
      </c>
      <c r="C22" t="s">
        <v>170</v>
      </c>
      <c r="D22" t="e">
        <f>#REF!</f>
        <v>#REF!</v>
      </c>
      <c r="E22" s="10" t="e" cm="1">
        <f t="array" ref="E22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2" s="6">
        <f>MB_D[[#This Row],[time value]]*MB_D[[#This Row],[multiplicator]]</f>
        <v>-140</v>
      </c>
      <c r="G22" s="11">
        <v>-1</v>
      </c>
      <c r="H22" s="3">
        <v>140</v>
      </c>
      <c r="I22" s="12" t="s">
        <v>202</v>
      </c>
      <c r="J22" s="2" t="s">
        <v>60</v>
      </c>
      <c r="K22" s="2" t="s">
        <v>11</v>
      </c>
    </row>
    <row r="23" spans="1:11" x14ac:dyDescent="0.3">
      <c r="A23" t="s">
        <v>523</v>
      </c>
      <c r="B23" t="s">
        <v>2</v>
      </c>
      <c r="C23" t="s">
        <v>170</v>
      </c>
      <c r="D23" t="e">
        <f>#REF!</f>
        <v>#REF!</v>
      </c>
      <c r="E23" s="10" t="e" cm="1">
        <f t="array" ref="E23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3" s="6">
        <f>MB_D[[#This Row],[time value]]*MB_D[[#This Row],[multiplicator]]</f>
        <v>-135</v>
      </c>
      <c r="G23" s="11">
        <v>-1</v>
      </c>
      <c r="H23" s="3">
        <v>135</v>
      </c>
      <c r="I23" s="12" t="s">
        <v>202</v>
      </c>
      <c r="J23" s="2" t="s">
        <v>61</v>
      </c>
      <c r="K23" s="2" t="s">
        <v>11</v>
      </c>
    </row>
    <row r="24" spans="1:11" x14ac:dyDescent="0.3">
      <c r="A24" t="s">
        <v>523</v>
      </c>
      <c r="B24" t="s">
        <v>2</v>
      </c>
      <c r="C24" t="s">
        <v>170</v>
      </c>
      <c r="D24" t="e">
        <f>#REF!</f>
        <v>#REF!</v>
      </c>
      <c r="E24" s="10" t="e" cm="1">
        <f t="array" ref="E24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4" s="6">
        <f>MB_D[[#This Row],[time value]]*MB_D[[#This Row],[multiplicator]]</f>
        <v>-133</v>
      </c>
      <c r="G24" s="11">
        <v>-1</v>
      </c>
      <c r="H24" s="3">
        <v>133</v>
      </c>
      <c r="I24" s="12" t="s">
        <v>202</v>
      </c>
      <c r="J24" s="2" t="s">
        <v>62</v>
      </c>
      <c r="K24" s="2" t="s">
        <v>11</v>
      </c>
    </row>
    <row r="25" spans="1:11" x14ac:dyDescent="0.3">
      <c r="A25" t="s">
        <v>523</v>
      </c>
      <c r="B25" t="s">
        <v>2</v>
      </c>
      <c r="C25" t="s">
        <v>170</v>
      </c>
      <c r="D25" t="e">
        <f>#REF!</f>
        <v>#REF!</v>
      </c>
      <c r="E25" s="10" t="e" cm="1">
        <f t="array" ref="E25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5" s="6">
        <f>MB_D[[#This Row],[time value]]*MB_D[[#This Row],[multiplicator]]</f>
        <v>-130</v>
      </c>
      <c r="G25" s="11">
        <v>-1</v>
      </c>
      <c r="H25" s="3">
        <v>130</v>
      </c>
      <c r="I25" s="12" t="s">
        <v>202</v>
      </c>
      <c r="J25" s="2" t="s">
        <v>63</v>
      </c>
      <c r="K25" s="2" t="s">
        <v>11</v>
      </c>
    </row>
    <row r="26" spans="1:11" x14ac:dyDescent="0.3">
      <c r="A26" t="s">
        <v>523</v>
      </c>
      <c r="B26" t="s">
        <v>2</v>
      </c>
      <c r="C26" t="s">
        <v>170</v>
      </c>
      <c r="D26" t="e">
        <f>#REF!</f>
        <v>#REF!</v>
      </c>
      <c r="E26" s="10" t="e" cm="1">
        <f t="array" ref="E26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6" s="6">
        <f>MB_D[[#This Row],[time value]]*MB_D[[#This Row],[multiplicator]]</f>
        <v>-125</v>
      </c>
      <c r="G26" s="11">
        <v>-1</v>
      </c>
      <c r="H26" s="3">
        <v>125</v>
      </c>
      <c r="I26" s="12" t="s">
        <v>202</v>
      </c>
      <c r="J26" s="2" t="s">
        <v>64</v>
      </c>
      <c r="K26" s="2" t="s">
        <v>11</v>
      </c>
    </row>
    <row r="27" spans="1:11" x14ac:dyDescent="0.3">
      <c r="A27" t="s">
        <v>523</v>
      </c>
      <c r="B27" t="s">
        <v>2</v>
      </c>
      <c r="C27" t="s">
        <v>170</v>
      </c>
      <c r="D27" t="e">
        <f>#REF!</f>
        <v>#REF!</v>
      </c>
      <c r="E27" s="10" t="e" cm="1">
        <f t="array" ref="E27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7" s="6">
        <f>MB_D[[#This Row],[time value]]*MB_D[[#This Row],[multiplicator]]</f>
        <v>-123</v>
      </c>
      <c r="G27" s="11">
        <v>-1</v>
      </c>
      <c r="H27" s="3">
        <v>123</v>
      </c>
      <c r="I27" s="12" t="s">
        <v>202</v>
      </c>
      <c r="J27" s="2" t="s">
        <v>65</v>
      </c>
      <c r="K27" s="2" t="s">
        <v>11</v>
      </c>
    </row>
    <row r="28" spans="1:11" x14ac:dyDescent="0.3">
      <c r="A28" t="s">
        <v>523</v>
      </c>
      <c r="B28" t="s">
        <v>2</v>
      </c>
      <c r="C28" t="s">
        <v>170</v>
      </c>
      <c r="D28" t="e">
        <f>#REF!</f>
        <v>#REF!</v>
      </c>
      <c r="E28" s="10" t="e" cm="1">
        <f t="array" ref="E28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8" s="6">
        <f>MB_D[[#This Row],[time value]]*MB_D[[#This Row],[multiplicator]]</f>
        <v>-121</v>
      </c>
      <c r="G28" s="11">
        <v>-1</v>
      </c>
      <c r="H28" s="3">
        <v>121</v>
      </c>
      <c r="I28" s="12" t="s">
        <v>202</v>
      </c>
      <c r="J28" s="2" t="s">
        <v>66</v>
      </c>
      <c r="K28" s="2" t="s">
        <v>42</v>
      </c>
    </row>
    <row r="29" spans="1:11" x14ac:dyDescent="0.3">
      <c r="A29" t="s">
        <v>523</v>
      </c>
      <c r="B29" t="s">
        <v>2</v>
      </c>
      <c r="C29" t="s">
        <v>170</v>
      </c>
      <c r="D29" t="e">
        <f>#REF!</f>
        <v>#REF!</v>
      </c>
      <c r="E29" s="10" t="e" cm="1">
        <f t="array" ref="E29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29" s="6">
        <f>MB_D[[#This Row],[time value]]*MB_D[[#This Row],[multiplicator]]</f>
        <v>-120</v>
      </c>
      <c r="G29" s="11">
        <v>-1</v>
      </c>
      <c r="H29" s="3">
        <v>120</v>
      </c>
      <c r="I29" s="12" t="s">
        <v>202</v>
      </c>
      <c r="J29" s="2" t="s">
        <v>67</v>
      </c>
      <c r="K29" s="2" t="s">
        <v>11</v>
      </c>
    </row>
    <row r="30" spans="1:11" x14ac:dyDescent="0.3">
      <c r="A30" t="s">
        <v>523</v>
      </c>
      <c r="B30" t="s">
        <v>2</v>
      </c>
      <c r="C30" t="s">
        <v>170</v>
      </c>
      <c r="D30" t="e">
        <f>#REF!</f>
        <v>#REF!</v>
      </c>
      <c r="E30" s="10" t="e" cm="1">
        <f t="array" ref="E30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0" s="6">
        <f>MB_D[[#This Row],[time value]]*MB_D[[#This Row],[multiplicator]]</f>
        <v>-115</v>
      </c>
      <c r="G30" s="11">
        <v>-1</v>
      </c>
      <c r="H30" s="3">
        <v>115</v>
      </c>
      <c r="I30" s="12" t="s">
        <v>202</v>
      </c>
      <c r="J30" s="2" t="s">
        <v>68</v>
      </c>
      <c r="K30" s="2" t="s">
        <v>11</v>
      </c>
    </row>
    <row r="31" spans="1:11" x14ac:dyDescent="0.3">
      <c r="A31" t="s">
        <v>523</v>
      </c>
      <c r="B31" t="s">
        <v>2</v>
      </c>
      <c r="C31" t="s">
        <v>170</v>
      </c>
      <c r="D31" t="e">
        <f>#REF!</f>
        <v>#REF!</v>
      </c>
      <c r="E31" s="10" t="e" cm="1">
        <f t="array" ref="E31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1" s="6">
        <f>MB_D[[#This Row],[time value]]*MB_D[[#This Row],[multiplicator]]</f>
        <v>-113</v>
      </c>
      <c r="G31" s="11">
        <v>-1</v>
      </c>
      <c r="H31" s="3">
        <v>113</v>
      </c>
      <c r="I31" s="12" t="s">
        <v>202</v>
      </c>
      <c r="J31" s="2" t="s">
        <v>69</v>
      </c>
      <c r="K31" s="2" t="s">
        <v>11</v>
      </c>
    </row>
    <row r="32" spans="1:11" x14ac:dyDescent="0.3">
      <c r="A32" t="s">
        <v>523</v>
      </c>
      <c r="B32" t="s">
        <v>2</v>
      </c>
      <c r="C32" t="s">
        <v>170</v>
      </c>
      <c r="D32" t="e">
        <f>#REF!</f>
        <v>#REF!</v>
      </c>
      <c r="E32" s="10" t="e" cm="1">
        <f t="array" ref="E32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2" s="6">
        <f>MB_D[[#This Row],[time value]]*MB_D[[#This Row],[multiplicator]]</f>
        <v>-110</v>
      </c>
      <c r="G32" s="11">
        <v>-1</v>
      </c>
      <c r="H32" s="3">
        <v>110</v>
      </c>
      <c r="I32" s="12" t="s">
        <v>202</v>
      </c>
      <c r="J32" s="2" t="s">
        <v>71</v>
      </c>
      <c r="K32" s="2" t="s">
        <v>11</v>
      </c>
    </row>
    <row r="33" spans="1:11" x14ac:dyDescent="0.3">
      <c r="A33" t="s">
        <v>523</v>
      </c>
      <c r="B33" t="s">
        <v>2</v>
      </c>
      <c r="C33" t="s">
        <v>170</v>
      </c>
      <c r="D33" t="e">
        <f>#REF!</f>
        <v>#REF!</v>
      </c>
      <c r="E33" s="10" t="e" cm="1">
        <f t="array" ref="E33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3" s="6">
        <f>MB_D[[#This Row],[time value]]*MB_D[[#This Row],[multiplicator]]</f>
        <v>-105</v>
      </c>
      <c r="G33" s="11">
        <v>-1</v>
      </c>
      <c r="H33" s="3">
        <v>105</v>
      </c>
      <c r="I33" s="12" t="s">
        <v>202</v>
      </c>
      <c r="J33" s="2" t="s">
        <v>74</v>
      </c>
      <c r="K33" s="2" t="s">
        <v>11</v>
      </c>
    </row>
    <row r="34" spans="1:11" x14ac:dyDescent="0.3">
      <c r="A34" t="s">
        <v>523</v>
      </c>
      <c r="B34" t="s">
        <v>2</v>
      </c>
      <c r="C34" t="s">
        <v>170</v>
      </c>
      <c r="D34" t="e">
        <f>#REF!</f>
        <v>#REF!</v>
      </c>
      <c r="E34" s="10" t="e" cm="1">
        <f t="array" ref="E34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4" s="6">
        <f>MB_D[[#This Row],[time value]]*MB_D[[#This Row],[multiplicator]]</f>
        <v>-103</v>
      </c>
      <c r="G34" s="11">
        <v>-1</v>
      </c>
      <c r="H34" s="3">
        <v>103</v>
      </c>
      <c r="I34" s="12" t="s">
        <v>202</v>
      </c>
      <c r="J34" s="2" t="s">
        <v>75</v>
      </c>
      <c r="K34" s="2" t="s">
        <v>11</v>
      </c>
    </row>
    <row r="35" spans="1:11" x14ac:dyDescent="0.3">
      <c r="A35" t="s">
        <v>523</v>
      </c>
      <c r="B35" t="s">
        <v>2</v>
      </c>
      <c r="C35" t="s">
        <v>170</v>
      </c>
      <c r="D35" t="e">
        <f>#REF!</f>
        <v>#REF!</v>
      </c>
      <c r="E35" s="10" t="e" cm="1">
        <f t="array" ref="E35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5" s="6">
        <f>MB_D[[#This Row],[time value]]*MB_D[[#This Row],[multiplicator]]</f>
        <v>-101</v>
      </c>
      <c r="G35" s="11">
        <v>-1</v>
      </c>
      <c r="H35" s="3">
        <v>101</v>
      </c>
      <c r="I35" s="12" t="s">
        <v>202</v>
      </c>
      <c r="J35" s="2" t="s">
        <v>76</v>
      </c>
      <c r="K35" s="2" t="s">
        <v>42</v>
      </c>
    </row>
    <row r="36" spans="1:11" x14ac:dyDescent="0.3">
      <c r="A36" t="s">
        <v>523</v>
      </c>
      <c r="B36" t="s">
        <v>2</v>
      </c>
      <c r="C36" t="s">
        <v>170</v>
      </c>
      <c r="D36" t="e">
        <f>#REF!</f>
        <v>#REF!</v>
      </c>
      <c r="E36" s="10" t="e" cm="1">
        <f t="array" ref="E36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6" s="6">
        <f>MB_D[[#This Row],[time value]]*MB_D[[#This Row],[multiplicator]]</f>
        <v>-100</v>
      </c>
      <c r="G36" s="11">
        <v>-1</v>
      </c>
      <c r="H36" s="3">
        <v>100</v>
      </c>
      <c r="I36" s="12" t="s">
        <v>202</v>
      </c>
      <c r="J36" s="2" t="s">
        <v>78</v>
      </c>
      <c r="K36" s="2" t="s">
        <v>11</v>
      </c>
    </row>
    <row r="37" spans="1:11" x14ac:dyDescent="0.3">
      <c r="A37" t="s">
        <v>523</v>
      </c>
      <c r="B37" t="s">
        <v>2</v>
      </c>
      <c r="C37" t="s">
        <v>170</v>
      </c>
      <c r="D37" t="e">
        <f>#REF!</f>
        <v>#REF!</v>
      </c>
      <c r="E37" s="10" t="e" cm="1">
        <f t="array" ref="E37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7" s="6">
        <f>MB_D[[#This Row],[time value]]*MB_D[[#This Row],[multiplicator]]</f>
        <v>-95</v>
      </c>
      <c r="G37" s="11">
        <v>-1</v>
      </c>
      <c r="H37" s="3">
        <v>95</v>
      </c>
      <c r="I37" s="12" t="s">
        <v>202</v>
      </c>
      <c r="J37" s="2" t="s">
        <v>81</v>
      </c>
      <c r="K37" s="2" t="s">
        <v>11</v>
      </c>
    </row>
    <row r="38" spans="1:11" x14ac:dyDescent="0.3">
      <c r="A38" t="s">
        <v>523</v>
      </c>
      <c r="B38" t="s">
        <v>2</v>
      </c>
      <c r="C38" t="s">
        <v>170</v>
      </c>
      <c r="D38" t="e">
        <f>#REF!</f>
        <v>#REF!</v>
      </c>
      <c r="E38" s="10" t="e" cm="1">
        <f t="array" ref="E38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8" s="6">
        <f>MB_D[[#This Row],[time value]]*MB_D[[#This Row],[multiplicator]]</f>
        <v>-93</v>
      </c>
      <c r="G38" s="11">
        <v>-1</v>
      </c>
      <c r="H38" s="3">
        <v>93</v>
      </c>
      <c r="I38" s="12" t="s">
        <v>202</v>
      </c>
      <c r="J38" s="2" t="s">
        <v>83</v>
      </c>
      <c r="K38" s="2" t="s">
        <v>11</v>
      </c>
    </row>
    <row r="39" spans="1:11" x14ac:dyDescent="0.3">
      <c r="A39" t="s">
        <v>523</v>
      </c>
      <c r="B39" t="s">
        <v>2</v>
      </c>
      <c r="C39" t="s">
        <v>170</v>
      </c>
      <c r="D39" t="e">
        <f>#REF!</f>
        <v>#REF!</v>
      </c>
      <c r="E39" s="10" t="e" cm="1">
        <f t="array" ref="E39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39" s="6">
        <f>MB_D[[#This Row],[time value]]*MB_D[[#This Row],[multiplicator]]</f>
        <v>-90</v>
      </c>
      <c r="G39" s="11">
        <v>-1</v>
      </c>
      <c r="H39" s="3">
        <v>90</v>
      </c>
      <c r="I39" s="12" t="s">
        <v>202</v>
      </c>
      <c r="J39" s="2" t="s">
        <v>85</v>
      </c>
      <c r="K39" s="2" t="s">
        <v>11</v>
      </c>
    </row>
    <row r="40" spans="1:11" x14ac:dyDescent="0.3">
      <c r="A40" t="s">
        <v>523</v>
      </c>
      <c r="B40" t="s">
        <v>2</v>
      </c>
      <c r="C40" t="s">
        <v>170</v>
      </c>
      <c r="D40" t="e">
        <f>#REF!</f>
        <v>#REF!</v>
      </c>
      <c r="E40" s="10" t="e" cm="1">
        <f t="array" ref="E40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0" s="6">
        <f>MB_D[[#This Row],[time value]]*MB_D[[#This Row],[multiplicator]]</f>
        <v>-60</v>
      </c>
      <c r="G40" s="11">
        <v>-1</v>
      </c>
      <c r="H40" s="3">
        <v>60</v>
      </c>
      <c r="I40" s="12" t="s">
        <v>202</v>
      </c>
      <c r="J40" s="2" t="s">
        <v>95</v>
      </c>
      <c r="K40" s="2" t="s">
        <v>11</v>
      </c>
    </row>
    <row r="41" spans="1:11" x14ac:dyDescent="0.3">
      <c r="A41" t="s">
        <v>523</v>
      </c>
      <c r="B41" t="s">
        <v>2</v>
      </c>
      <c r="C41" t="s">
        <v>170</v>
      </c>
      <c r="D41" t="e">
        <f>#REF!</f>
        <v>#REF!</v>
      </c>
      <c r="E41" s="10" t="e" cm="1">
        <f t="array" ref="E41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1" s="6">
        <f>MB_D[[#This Row],[time value]]*MB_D[[#This Row],[multiplicator]]</f>
        <v>0</v>
      </c>
      <c r="G41" s="3">
        <v>1</v>
      </c>
      <c r="H41" s="3">
        <v>0</v>
      </c>
      <c r="I41" s="12" t="s">
        <v>202</v>
      </c>
      <c r="J41" s="2" t="s">
        <v>125</v>
      </c>
      <c r="K41" s="2"/>
    </row>
    <row r="42" spans="1:11" x14ac:dyDescent="0.3">
      <c r="A42" t="s">
        <v>523</v>
      </c>
      <c r="B42" t="s">
        <v>2</v>
      </c>
      <c r="C42" t="s">
        <v>170</v>
      </c>
      <c r="D42" t="e">
        <f>#REF!</f>
        <v>#REF!</v>
      </c>
      <c r="E42" s="10" t="e" cm="1">
        <f t="array" ref="E42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2" s="6">
        <f>MB_D[[#This Row],[time value]]*MB_D[[#This Row],[multiplicator]]</f>
        <v>0</v>
      </c>
      <c r="G42" s="3">
        <v>1</v>
      </c>
      <c r="H42" s="3">
        <v>0</v>
      </c>
      <c r="I42" s="12" t="s">
        <v>202</v>
      </c>
      <c r="J42" s="2" t="s">
        <v>132</v>
      </c>
      <c r="K42" s="2" t="s">
        <v>131</v>
      </c>
    </row>
    <row r="43" spans="1:11" x14ac:dyDescent="0.3">
      <c r="A43" t="s">
        <v>523</v>
      </c>
      <c r="B43" t="s">
        <v>2</v>
      </c>
      <c r="C43" t="s">
        <v>170</v>
      </c>
      <c r="D43" t="e">
        <f>#REF!</f>
        <v>#REF!</v>
      </c>
      <c r="E43" s="10" t="e" cm="1">
        <f t="array" ref="E43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3" s="6">
        <f>MB_D[[#This Row],[time value]]*MB_D[[#This Row],[multiplicator]]</f>
        <v>45</v>
      </c>
      <c r="G43" s="3">
        <v>1</v>
      </c>
      <c r="H43" s="3">
        <v>45</v>
      </c>
      <c r="I43" s="12" t="s">
        <v>202</v>
      </c>
      <c r="J43" s="2" t="s">
        <v>139</v>
      </c>
      <c r="K43" s="2"/>
    </row>
    <row r="44" spans="1:11" x14ac:dyDescent="0.3">
      <c r="A44" t="s">
        <v>523</v>
      </c>
      <c r="B44" t="s">
        <v>2</v>
      </c>
      <c r="C44" t="s">
        <v>170</v>
      </c>
      <c r="D44" t="e">
        <f>#REF!</f>
        <v>#REF!</v>
      </c>
      <c r="E44" s="10" t="e" cm="1">
        <f t="array" ref="E44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4" s="6">
        <f>MB_D[[#This Row],[time value]]*MB_D[[#This Row],[multiplicator]]</f>
        <v>60</v>
      </c>
      <c r="G44" s="3">
        <v>1</v>
      </c>
      <c r="H44" s="3">
        <v>60</v>
      </c>
      <c r="I44" s="12" t="s">
        <v>202</v>
      </c>
      <c r="J44" s="2" t="s">
        <v>132</v>
      </c>
      <c r="K44" s="2" t="s">
        <v>131</v>
      </c>
    </row>
    <row r="45" spans="1:11" x14ac:dyDescent="0.3">
      <c r="A45" t="s">
        <v>523</v>
      </c>
      <c r="B45" t="s">
        <v>2</v>
      </c>
      <c r="C45" t="s">
        <v>170</v>
      </c>
      <c r="D45" t="e">
        <f>#REF!</f>
        <v>#REF!</v>
      </c>
      <c r="E45" s="10" t="e" cm="1">
        <f t="array" ref="E45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5" s="6">
        <f>MB_D[[#This Row],[time value]]*MB_D[[#This Row],[multiplicator]]</f>
        <v>0</v>
      </c>
      <c r="G45" s="3">
        <v>1</v>
      </c>
      <c r="H45" s="3"/>
      <c r="I45" s="14" t="s">
        <v>494</v>
      </c>
      <c r="J45" s="2" t="s">
        <v>143</v>
      </c>
      <c r="K45" s="2"/>
    </row>
    <row r="46" spans="1:11" x14ac:dyDescent="0.3">
      <c r="A46" t="s">
        <v>523</v>
      </c>
      <c r="B46" t="s">
        <v>2</v>
      </c>
      <c r="C46" t="s">
        <v>170</v>
      </c>
      <c r="D46" t="e">
        <f>#REF!</f>
        <v>#REF!</v>
      </c>
      <c r="E46" s="10" t="e" cm="1">
        <f t="array" ref="E46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6" s="6">
        <f>MB_D[[#This Row],[time value]]*MB_D[[#This Row],[multiplicator]]</f>
        <v>15</v>
      </c>
      <c r="G46" s="11">
        <v>1</v>
      </c>
      <c r="H46" s="3">
        <v>15</v>
      </c>
      <c r="I46" s="12" t="s">
        <v>494</v>
      </c>
      <c r="J46" s="2" t="s">
        <v>148</v>
      </c>
      <c r="K46" s="2" t="s">
        <v>11</v>
      </c>
    </row>
    <row r="47" spans="1:11" x14ac:dyDescent="0.3">
      <c r="A47" t="s">
        <v>523</v>
      </c>
      <c r="B47" t="s">
        <v>2</v>
      </c>
      <c r="C47" t="s">
        <v>170</v>
      </c>
      <c r="D47" t="e">
        <f>#REF!</f>
        <v>#REF!</v>
      </c>
      <c r="E47" s="10" t="e" cm="1">
        <f t="array" ref="E47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7" s="6">
        <f>MB_D[[#This Row],[time value]]*MB_D[[#This Row],[multiplicator]]</f>
        <v>20</v>
      </c>
      <c r="G47" s="11">
        <v>1</v>
      </c>
      <c r="H47" s="3">
        <v>20</v>
      </c>
      <c r="I47" s="11" t="s">
        <v>494</v>
      </c>
      <c r="J47" s="2" t="s">
        <v>153</v>
      </c>
      <c r="K47" s="2" t="s">
        <v>11</v>
      </c>
    </row>
    <row r="48" spans="1:11" x14ac:dyDescent="0.3">
      <c r="A48" t="s">
        <v>523</v>
      </c>
      <c r="B48" t="s">
        <v>2</v>
      </c>
      <c r="C48" t="s">
        <v>170</v>
      </c>
      <c r="D48" t="e">
        <f>#REF!</f>
        <v>#REF!</v>
      </c>
      <c r="E48" s="10" t="e" cm="1">
        <f t="array" ref="E48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8" s="6">
        <f>MB_D[[#This Row],[time value]]*MB_D[[#This Row],[multiplicator]]</f>
        <v>25</v>
      </c>
      <c r="G48" s="11">
        <v>1</v>
      </c>
      <c r="H48" s="3">
        <v>25</v>
      </c>
      <c r="I48" s="11" t="s">
        <v>494</v>
      </c>
      <c r="J48" s="2" t="s">
        <v>155</v>
      </c>
      <c r="K48" s="2" t="s">
        <v>11</v>
      </c>
    </row>
    <row r="49" spans="1:11" x14ac:dyDescent="0.3">
      <c r="A49" t="s">
        <v>523</v>
      </c>
      <c r="B49" t="s">
        <v>2</v>
      </c>
      <c r="C49" t="s">
        <v>170</v>
      </c>
      <c r="D49" t="e">
        <f>#REF!</f>
        <v>#REF!</v>
      </c>
      <c r="E49" s="10" t="e" cm="1">
        <f t="array" ref="E49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49" s="6">
        <f>MB_D[[#This Row],[time value]]*MB_D[[#This Row],[multiplicator]]</f>
        <v>30</v>
      </c>
      <c r="G49" s="11">
        <v>1</v>
      </c>
      <c r="H49" s="3">
        <v>30</v>
      </c>
      <c r="I49" s="11" t="s">
        <v>494</v>
      </c>
      <c r="J49" s="2" t="s">
        <v>158</v>
      </c>
      <c r="K49" s="2" t="s">
        <v>11</v>
      </c>
    </row>
    <row r="50" spans="1:11" x14ac:dyDescent="0.3">
      <c r="A50" t="s">
        <v>523</v>
      </c>
      <c r="B50" t="s">
        <v>2</v>
      </c>
      <c r="C50" t="s">
        <v>170</v>
      </c>
      <c r="D50" t="e">
        <f>#REF!</f>
        <v>#REF!</v>
      </c>
      <c r="E50" s="10" t="e" cm="1">
        <f t="array" ref="E50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0" s="6">
        <f>MB_D[[#This Row],[time value]]*MB_D[[#This Row],[multiplicator]]</f>
        <v>35</v>
      </c>
      <c r="G50" s="11">
        <v>1</v>
      </c>
      <c r="H50" s="3">
        <v>35</v>
      </c>
      <c r="I50" s="11" t="s">
        <v>494</v>
      </c>
      <c r="J50" s="2" t="s">
        <v>161</v>
      </c>
      <c r="K50" s="2" t="s">
        <v>11</v>
      </c>
    </row>
    <row r="51" spans="1:11" x14ac:dyDescent="0.3">
      <c r="A51" t="s">
        <v>523</v>
      </c>
      <c r="B51" t="s">
        <v>2</v>
      </c>
      <c r="C51" t="s">
        <v>170</v>
      </c>
      <c r="D51" t="e">
        <f>#REF!</f>
        <v>#REF!</v>
      </c>
      <c r="E51" s="10" t="e" cm="1">
        <f t="array" ref="E51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1" s="6">
        <f>MB_D[[#This Row],[time value]]*MB_D[[#This Row],[multiplicator]]</f>
        <v>20</v>
      </c>
      <c r="G51" s="11">
        <v>1</v>
      </c>
      <c r="H51" s="3">
        <v>20</v>
      </c>
      <c r="I51" s="11" t="s">
        <v>494</v>
      </c>
      <c r="J51" s="2" t="s">
        <v>154</v>
      </c>
      <c r="K51" s="2" t="s">
        <v>11</v>
      </c>
    </row>
    <row r="52" spans="1:11" x14ac:dyDescent="0.3">
      <c r="A52" t="s">
        <v>523</v>
      </c>
      <c r="B52" t="s">
        <v>2</v>
      </c>
      <c r="C52" t="s">
        <v>170</v>
      </c>
      <c r="D52" t="e">
        <f>#REF!</f>
        <v>#REF!</v>
      </c>
      <c r="E52" s="10" t="e" cm="1">
        <f t="array" ref="E52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2" s="6">
        <f>MB_D[[#This Row],[time value]]*MB_D[[#This Row],[multiplicator]]</f>
        <v>25</v>
      </c>
      <c r="G52" s="11">
        <v>1</v>
      </c>
      <c r="H52" s="3">
        <v>25</v>
      </c>
      <c r="I52" s="11" t="s">
        <v>494</v>
      </c>
      <c r="J52" s="2" t="s">
        <v>156</v>
      </c>
      <c r="K52" s="2" t="s">
        <v>11</v>
      </c>
    </row>
    <row r="53" spans="1:11" x14ac:dyDescent="0.3">
      <c r="A53" t="s">
        <v>523</v>
      </c>
      <c r="B53" t="s">
        <v>2</v>
      </c>
      <c r="C53" t="s">
        <v>170</v>
      </c>
      <c r="D53" t="e">
        <f>#REF!</f>
        <v>#REF!</v>
      </c>
      <c r="E53" s="10" t="e" cm="1">
        <f t="array" ref="E53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3" s="6">
        <f>MB_D[[#This Row],[time value]]*MB_D[[#This Row],[multiplicator]]</f>
        <v>30</v>
      </c>
      <c r="G53" s="11">
        <v>1</v>
      </c>
      <c r="H53" s="3">
        <v>30</v>
      </c>
      <c r="I53" s="11" t="s">
        <v>494</v>
      </c>
      <c r="J53" s="2" t="s">
        <v>159</v>
      </c>
      <c r="K53" s="2" t="s">
        <v>11</v>
      </c>
    </row>
    <row r="54" spans="1:11" x14ac:dyDescent="0.3">
      <c r="A54" t="s">
        <v>523</v>
      </c>
      <c r="B54" t="s">
        <v>2</v>
      </c>
      <c r="C54" t="s">
        <v>170</v>
      </c>
      <c r="D54" t="e">
        <f>#REF!</f>
        <v>#REF!</v>
      </c>
      <c r="E54" s="10" t="e" cm="1">
        <f t="array" ref="E54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4" s="6">
        <f>MB_D[[#This Row],[time value]]*MB_D[[#This Row],[multiplicator]]</f>
        <v>35</v>
      </c>
      <c r="G54" s="11">
        <v>1</v>
      </c>
      <c r="H54" s="3">
        <v>35</v>
      </c>
      <c r="I54" s="11" t="s">
        <v>494</v>
      </c>
      <c r="J54" s="2" t="s">
        <v>162</v>
      </c>
      <c r="K54" s="2" t="s">
        <v>11</v>
      </c>
    </row>
    <row r="55" spans="1:11" x14ac:dyDescent="0.3">
      <c r="A55" t="s">
        <v>523</v>
      </c>
      <c r="B55" t="s">
        <v>2</v>
      </c>
      <c r="C55" t="s">
        <v>170</v>
      </c>
      <c r="D55" t="e">
        <f>#REF!</f>
        <v>#REF!</v>
      </c>
      <c r="E55" s="10" t="e" cm="1">
        <f t="array" ref="E55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5" s="6">
        <f>MB_D[[#This Row],[time value]]*MB_D[[#This Row],[multiplicator]]</f>
        <v>40</v>
      </c>
      <c r="G55" s="11">
        <v>1</v>
      </c>
      <c r="H55" s="3">
        <v>40</v>
      </c>
      <c r="I55" s="11" t="s">
        <v>494</v>
      </c>
      <c r="J55" s="2" t="s">
        <v>165</v>
      </c>
      <c r="K55" s="2" t="s">
        <v>11</v>
      </c>
    </row>
    <row r="56" spans="1:11" x14ac:dyDescent="0.3">
      <c r="A56" t="s">
        <v>523</v>
      </c>
      <c r="B56" t="s">
        <v>2</v>
      </c>
      <c r="C56" t="s">
        <v>170</v>
      </c>
      <c r="D56" t="e">
        <f>#REF!</f>
        <v>#REF!</v>
      </c>
      <c r="E56" s="10" t="e" cm="1">
        <f t="array" ref="E56">_xlfn.IFS(MB_D[[#This Row],[reference wisle]]="KO",#REF!+(MB_D[[#This Row],[Time to KO]]/1440),MB_D[[#This Row],[reference wisle]]="FW",#REF!+(MB_D[[#This Row],[Time to KO]]/1440),MB_D[[#This Row],[reference wisle]]="EOD","End of Day")</f>
        <v>#REF!</v>
      </c>
      <c r="F56" s="6">
        <f>MB_D[[#This Row],[time value]]*MB_D[[#This Row],[multiplicator]]</f>
        <v>45</v>
      </c>
      <c r="G56" s="11">
        <v>1</v>
      </c>
      <c r="H56" s="3">
        <v>45</v>
      </c>
      <c r="I56" s="11" t="s">
        <v>494</v>
      </c>
      <c r="J56" s="2" t="s">
        <v>167</v>
      </c>
      <c r="K56" s="2" t="s">
        <v>42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9292-668E-734B-AF67-9156EE4B47E4}">
  <sheetPr>
    <tabColor rgb="FFFFC000"/>
  </sheetPr>
  <dimension ref="A1:K11"/>
  <sheetViews>
    <sheetView workbookViewId="0">
      <selection activeCell="A2" sqref="A2:B2"/>
    </sheetView>
  </sheetViews>
  <sheetFormatPr defaultColWidth="11" defaultRowHeight="15.6" x14ac:dyDescent="0.3"/>
  <cols>
    <col min="1" max="1" width="18.3984375" bestFit="1" customWidth="1"/>
    <col min="2" max="4" width="18.3984375" customWidth="1"/>
    <col min="5" max="5" width="18.3984375" style="9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9" t="s">
        <v>6</v>
      </c>
      <c r="F1" s="1" t="s">
        <v>5</v>
      </c>
      <c r="G1" s="17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493</v>
      </c>
      <c r="B2" t="s">
        <v>20</v>
      </c>
      <c r="C2" t="s">
        <v>21</v>
      </c>
      <c r="D2" t="e">
        <f>#REF!&amp;" vs "&amp;#REF!</f>
        <v>#REF!</v>
      </c>
      <c r="E2" s="9" t="e" cm="1">
        <f t="array" ref="E2">_xlfn.IFS(MD1A[[#This Row],[reference wisle]]="KO",MIN(#REF!,#REF!,#REF!,#REF!)+(MD1A[[#This Row],[Time to KO]]/1440),MD1A[[#This Row],[reference wisle]]="EOD","End of Feed")</f>
        <v>#REF!</v>
      </c>
      <c r="F2" s="1">
        <f>MD1A[[#This Row],[time value]]*MD1A[[#This Row],[multiplicator]]</f>
        <v>-45</v>
      </c>
      <c r="G2" s="1">
        <v>-1</v>
      </c>
      <c r="H2" s="34">
        <v>45</v>
      </c>
      <c r="I2" s="34" t="s">
        <v>202</v>
      </c>
      <c r="J2" t="s">
        <v>23</v>
      </c>
      <c r="K2" s="2" t="s">
        <v>11</v>
      </c>
    </row>
    <row r="3" spans="1:11" x14ac:dyDescent="0.3">
      <c r="A3" t="s">
        <v>524</v>
      </c>
      <c r="B3" t="s">
        <v>2</v>
      </c>
      <c r="C3" t="s">
        <v>21</v>
      </c>
      <c r="D3" t="e">
        <f>#REF!&amp;" vs "&amp;#REF!</f>
        <v>#REF!</v>
      </c>
      <c r="E3" s="9" t="e" cm="1">
        <f t="array" ref="E3">_xlfn.IFS(MD1A[[#This Row],[reference wisle]]="KO",MIN(#REF!,#REF!,#REF!,#REF!)+(MD1A[[#This Row],[Time to KO]]/1440),MD1A[[#This Row],[reference wisle]]="EOD","End of Feed")</f>
        <v>#REF!</v>
      </c>
      <c r="F3" s="6">
        <f>MD1A[[#This Row],[time value]]*MD1A[[#This Row],[multiplicator]]</f>
        <v>-40</v>
      </c>
      <c r="G3" s="11">
        <v>-1</v>
      </c>
      <c r="H3" s="11">
        <v>40</v>
      </c>
      <c r="I3" s="12" t="s">
        <v>202</v>
      </c>
      <c r="J3" s="2" t="s">
        <v>10</v>
      </c>
      <c r="K3" s="2" t="s">
        <v>11</v>
      </c>
    </row>
    <row r="4" spans="1:11" x14ac:dyDescent="0.3">
      <c r="A4" t="s">
        <v>524</v>
      </c>
      <c r="B4" t="s">
        <v>2</v>
      </c>
      <c r="C4" t="s">
        <v>21</v>
      </c>
      <c r="D4" t="e">
        <f>#REF!&amp;" vs "&amp;#REF!</f>
        <v>#REF!</v>
      </c>
      <c r="E4" s="9" t="e" cm="1">
        <f t="array" ref="E4">_xlfn.IFS(MD1A[[#This Row],[reference wisle]]="KO",MIN(#REF!,#REF!,#REF!,#REF!)+(MD1A[[#This Row],[Time to KO]]/1440),MD1A[[#This Row],[reference wisle]]="EOD","End of Feed")</f>
        <v>#REF!</v>
      </c>
      <c r="F4" s="6">
        <f>MD1A[[#This Row],[time value]]*MD1A[[#This Row],[multiplicator]]</f>
        <v>-35</v>
      </c>
      <c r="G4" s="11">
        <v>-1</v>
      </c>
      <c r="H4" s="11">
        <v>35</v>
      </c>
      <c r="I4" s="12" t="s">
        <v>202</v>
      </c>
      <c r="J4" s="2" t="s">
        <v>13</v>
      </c>
      <c r="K4" s="2" t="s">
        <v>11</v>
      </c>
    </row>
    <row r="5" spans="1:11" x14ac:dyDescent="0.3">
      <c r="A5" t="s">
        <v>524</v>
      </c>
      <c r="B5" t="s">
        <v>2</v>
      </c>
      <c r="C5" t="s">
        <v>21</v>
      </c>
      <c r="D5" t="e">
        <f>#REF!&amp;" vs "&amp;#REF!</f>
        <v>#REF!</v>
      </c>
      <c r="E5" s="9" t="e" cm="1">
        <f t="array" ref="E5">_xlfn.IFS(MD1A[[#This Row],[reference wisle]]="KO",MIN(#REF!,#REF!,#REF!,#REF!)+(MD1A[[#This Row],[Time to KO]]/1440),MD1A[[#This Row],[reference wisle]]="EOD","End of Feed")</f>
        <v>#REF!</v>
      </c>
      <c r="F5" s="6">
        <f>MD1A[[#This Row],[time value]]*MD1A[[#This Row],[multiplicator]]</f>
        <v>-30</v>
      </c>
      <c r="G5" s="11">
        <v>-1</v>
      </c>
      <c r="H5" s="11">
        <v>30</v>
      </c>
      <c r="I5" s="12" t="s">
        <v>202</v>
      </c>
      <c r="J5" s="2" t="s">
        <v>14</v>
      </c>
      <c r="K5" s="2" t="s">
        <v>11</v>
      </c>
    </row>
    <row r="6" spans="1:11" x14ac:dyDescent="0.3">
      <c r="A6" t="s">
        <v>524</v>
      </c>
      <c r="B6" t="s">
        <v>2</v>
      </c>
      <c r="C6" t="s">
        <v>21</v>
      </c>
      <c r="D6" t="e">
        <f>#REF!</f>
        <v>#REF!</v>
      </c>
      <c r="E6" s="9" t="e">
        <f>#REF!+(MD1A[[#This Row],[Time to KO]]/1440)</f>
        <v>#REF!</v>
      </c>
      <c r="F6" s="6">
        <f>MD1A[[#This Row],[time value]]*MD1A[[#This Row],[multiplicator]]</f>
        <v>-5</v>
      </c>
      <c r="G6" s="11">
        <v>-1</v>
      </c>
      <c r="H6" s="11">
        <v>5</v>
      </c>
      <c r="I6" s="12" t="s">
        <v>202</v>
      </c>
      <c r="J6" s="7" t="s">
        <v>25</v>
      </c>
      <c r="K6" t="s">
        <v>19</v>
      </c>
    </row>
    <row r="7" spans="1:11" x14ac:dyDescent="0.3">
      <c r="A7" t="s">
        <v>524</v>
      </c>
      <c r="B7" t="s">
        <v>2</v>
      </c>
      <c r="C7" t="s">
        <v>21</v>
      </c>
      <c r="D7" t="e">
        <f>#REF!</f>
        <v>#REF!</v>
      </c>
      <c r="E7" s="9" t="e">
        <f>#REF!+(MD1A[[#This Row],[Time to KO]]/1440)</f>
        <v>#REF!</v>
      </c>
      <c r="F7" s="6">
        <f>MD1A[[#This Row],[time value]]*MD1A[[#This Row],[multiplicator]]</f>
        <v>-5</v>
      </c>
      <c r="G7" s="11">
        <v>-1</v>
      </c>
      <c r="H7" s="11">
        <v>5</v>
      </c>
      <c r="I7" s="12" t="s">
        <v>202</v>
      </c>
      <c r="J7" s="7" t="s">
        <v>18</v>
      </c>
      <c r="K7" t="s">
        <v>19</v>
      </c>
    </row>
    <row r="8" spans="1:11" x14ac:dyDescent="0.3">
      <c r="A8" t="s">
        <v>524</v>
      </c>
      <c r="B8" t="s">
        <v>2</v>
      </c>
      <c r="C8" t="s">
        <v>21</v>
      </c>
      <c r="D8" t="e">
        <f>#REF!</f>
        <v>#REF!</v>
      </c>
      <c r="E8" s="9" t="e">
        <f>#REF!+(MD1A[[#This Row],[Time to KO]]/1440)</f>
        <v>#REF!</v>
      </c>
      <c r="F8" s="6">
        <f>MD1A[[#This Row],[time value]]*MD1A[[#This Row],[multiplicator]]</f>
        <v>-5</v>
      </c>
      <c r="G8" s="11">
        <v>-1</v>
      </c>
      <c r="H8" s="11">
        <v>5</v>
      </c>
      <c r="I8" s="12" t="s">
        <v>202</v>
      </c>
      <c r="J8" s="7" t="s">
        <v>138</v>
      </c>
      <c r="K8" t="s">
        <v>19</v>
      </c>
    </row>
    <row r="9" spans="1:11" x14ac:dyDescent="0.3">
      <c r="A9" t="s">
        <v>524</v>
      </c>
      <c r="B9" t="s">
        <v>2</v>
      </c>
      <c r="C9" t="s">
        <v>21</v>
      </c>
      <c r="D9" t="e">
        <f>#REF!</f>
        <v>#REF!</v>
      </c>
      <c r="E9" s="9" t="e">
        <f>#REF!+(MD1A[[#This Row],[Time to KO]]/1440)</f>
        <v>#REF!</v>
      </c>
      <c r="F9" s="6">
        <f>MD1A[[#This Row],[time value]]*MD1A[[#This Row],[multiplicator]]</f>
        <v>-5</v>
      </c>
      <c r="G9" s="11">
        <v>-1</v>
      </c>
      <c r="H9" s="11">
        <v>5</v>
      </c>
      <c r="I9" s="12" t="s">
        <v>202</v>
      </c>
      <c r="J9" s="7" t="s">
        <v>142</v>
      </c>
      <c r="K9" t="s">
        <v>19</v>
      </c>
    </row>
    <row r="10" spans="1:11" x14ac:dyDescent="0.3">
      <c r="A10" t="s">
        <v>524</v>
      </c>
      <c r="B10" t="s">
        <v>2</v>
      </c>
      <c r="C10" t="s">
        <v>21</v>
      </c>
      <c r="D10" t="e">
        <f>#REF!&amp;" vs "&amp;#REF!</f>
        <v>#REF!</v>
      </c>
      <c r="E10" s="9" t="str" cm="1">
        <f t="array" ref="E10">_xlfn.IFS(MD1A[[#This Row],[reference wisle]]="KO",MIN(#REF!,#REF!,#REF!,#REF!)+(MD1A[[#This Row],[Time to KO]]/1440),MD1A[[#This Row],[reference wisle]]="EOD","End of Feed")</f>
        <v>End of Feed</v>
      </c>
      <c r="F10" s="6">
        <f>MD1A[[#This Row],[time value]]*MD1A[[#This Row],[multiplicator]]</f>
        <v>0</v>
      </c>
      <c r="G10" s="1">
        <v>1</v>
      </c>
      <c r="H10" s="11"/>
      <c r="I10" s="16" t="s">
        <v>499</v>
      </c>
      <c r="J10" s="25" t="s">
        <v>525</v>
      </c>
      <c r="K10" t="s">
        <v>19</v>
      </c>
    </row>
    <row r="11" spans="1:11" x14ac:dyDescent="0.3">
      <c r="J11" s="7"/>
      <c r="K11" s="7"/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CB21-966F-8B47-92C8-3B075B541CB7}">
  <sheetPr>
    <tabColor rgb="FFFFC000"/>
  </sheetPr>
  <dimension ref="A1:K11"/>
  <sheetViews>
    <sheetView workbookViewId="0">
      <selection activeCell="A2" sqref="A2:B2"/>
    </sheetView>
  </sheetViews>
  <sheetFormatPr defaultColWidth="11" defaultRowHeight="15.6" x14ac:dyDescent="0.3"/>
  <cols>
    <col min="1" max="1" width="18.3984375" bestFit="1" customWidth="1"/>
    <col min="2" max="4" width="18.3984375" customWidth="1"/>
    <col min="5" max="5" width="18.3984375" style="9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9" t="s">
        <v>6</v>
      </c>
      <c r="F1" s="1" t="s">
        <v>5</v>
      </c>
      <c r="G1" s="17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493</v>
      </c>
      <c r="B2" t="s">
        <v>20</v>
      </c>
      <c r="C2" t="s">
        <v>27</v>
      </c>
      <c r="D2" t="e">
        <f>#REF!&amp;" vs "&amp;#REF!</f>
        <v>#REF!</v>
      </c>
      <c r="E2" s="9" t="e" cm="1">
        <f t="array" ref="E2">_xlfn.IFS(MD1B[[#This Row],[reference wisle]]="KO",MIN(#REF!,#REF!,#REF!,#REF!)+(MD1B[[#This Row],[Time to KO]]/1440),MD1B[[#This Row],[reference wisle]]="EOD","End of Feed")</f>
        <v>#REF!</v>
      </c>
      <c r="F2" s="6">
        <f>MD1B[[#This Row],[time value]]*MD1B[[#This Row],[multiplicator]]</f>
        <v>-45</v>
      </c>
      <c r="G2" s="1">
        <v>-1</v>
      </c>
      <c r="H2" s="34">
        <v>45</v>
      </c>
      <c r="I2" s="34" t="s">
        <v>202</v>
      </c>
      <c r="J2" t="s">
        <v>23</v>
      </c>
      <c r="K2" s="2" t="s">
        <v>11</v>
      </c>
    </row>
    <row r="3" spans="1:11" x14ac:dyDescent="0.3">
      <c r="A3" t="s">
        <v>524</v>
      </c>
      <c r="B3" t="s">
        <v>2</v>
      </c>
      <c r="C3" t="s">
        <v>27</v>
      </c>
      <c r="D3" t="e">
        <f>#REF!&amp;" vs "&amp;#REF!</f>
        <v>#REF!</v>
      </c>
      <c r="E3" s="9" t="e" cm="1">
        <f t="array" ref="E3">_xlfn.IFS(MD1B[[#This Row],[reference wisle]]="KO",MIN(#REF!,#REF!,#REF!,#REF!)+(MD1B[[#This Row],[Time to KO]]/1440),MD1B[[#This Row],[reference wisle]]="EOD","End of Feed")</f>
        <v>#REF!</v>
      </c>
      <c r="F3" s="6">
        <f>MD1B[[#This Row],[time value]]*MD1B[[#This Row],[multiplicator]]</f>
        <v>-40</v>
      </c>
      <c r="G3" s="11">
        <v>-1</v>
      </c>
      <c r="H3" s="11">
        <v>40</v>
      </c>
      <c r="I3" s="12" t="s">
        <v>202</v>
      </c>
      <c r="J3" s="2" t="s">
        <v>10</v>
      </c>
      <c r="K3" s="2" t="s">
        <v>11</v>
      </c>
    </row>
    <row r="4" spans="1:11" x14ac:dyDescent="0.3">
      <c r="A4" t="s">
        <v>524</v>
      </c>
      <c r="B4" t="s">
        <v>2</v>
      </c>
      <c r="C4" t="s">
        <v>27</v>
      </c>
      <c r="D4" t="e">
        <f>#REF!&amp;" vs "&amp;#REF!</f>
        <v>#REF!</v>
      </c>
      <c r="E4" s="9" t="e" cm="1">
        <f t="array" ref="E4">_xlfn.IFS(MD1B[[#This Row],[reference wisle]]="KO",MIN(#REF!,#REF!,#REF!,#REF!)+(MD1B[[#This Row],[Time to KO]]/1440),MD1B[[#This Row],[reference wisle]]="EOD","End of Feed")</f>
        <v>#REF!</v>
      </c>
      <c r="F4" s="6">
        <f>MD1B[[#This Row],[time value]]*MD1B[[#This Row],[multiplicator]]</f>
        <v>-35</v>
      </c>
      <c r="G4" s="11">
        <v>-1</v>
      </c>
      <c r="H4" s="11">
        <v>35</v>
      </c>
      <c r="I4" s="12" t="s">
        <v>202</v>
      </c>
      <c r="J4" s="2" t="s">
        <v>13</v>
      </c>
      <c r="K4" s="2" t="s">
        <v>11</v>
      </c>
    </row>
    <row r="5" spans="1:11" x14ac:dyDescent="0.3">
      <c r="A5" t="s">
        <v>524</v>
      </c>
      <c r="B5" t="s">
        <v>2</v>
      </c>
      <c r="C5" t="s">
        <v>27</v>
      </c>
      <c r="D5" t="e">
        <f>#REF!&amp;" vs "&amp;#REF!</f>
        <v>#REF!</v>
      </c>
      <c r="E5" s="9" t="e" cm="1">
        <f t="array" ref="E5">_xlfn.IFS(MD1B[[#This Row],[reference wisle]]="KO",MIN(#REF!,#REF!,#REF!,#REF!)+(MD1B[[#This Row],[Time to KO]]/1440),MD1B[[#This Row],[reference wisle]]="EOD","End of Feed")</f>
        <v>#REF!</v>
      </c>
      <c r="F5" s="6">
        <f>MD1B[[#This Row],[time value]]*MD1B[[#This Row],[multiplicator]]</f>
        <v>-30</v>
      </c>
      <c r="G5" s="11">
        <v>-1</v>
      </c>
      <c r="H5" s="11">
        <v>30</v>
      </c>
      <c r="I5" s="12" t="s">
        <v>202</v>
      </c>
      <c r="J5" s="2" t="s">
        <v>14</v>
      </c>
      <c r="K5" s="2" t="s">
        <v>11</v>
      </c>
    </row>
    <row r="6" spans="1:11" x14ac:dyDescent="0.3">
      <c r="A6" t="s">
        <v>524</v>
      </c>
      <c r="B6" t="s">
        <v>2</v>
      </c>
      <c r="C6" t="s">
        <v>27</v>
      </c>
      <c r="D6" t="e">
        <f>#REF!</f>
        <v>#REF!</v>
      </c>
      <c r="E6" s="9" t="e">
        <f>#REF!+(MD1B[[#This Row],[Time to KO]]/1440)</f>
        <v>#REF!</v>
      </c>
      <c r="F6" s="6">
        <f>MD1B[[#This Row],[time value]]*MD1B[[#This Row],[multiplicator]]</f>
        <v>-5</v>
      </c>
      <c r="G6" s="11">
        <v>-1</v>
      </c>
      <c r="H6" s="11">
        <v>5</v>
      </c>
      <c r="I6" s="12" t="s">
        <v>202</v>
      </c>
      <c r="J6" s="7" t="s">
        <v>25</v>
      </c>
      <c r="K6" t="s">
        <v>19</v>
      </c>
    </row>
    <row r="7" spans="1:11" x14ac:dyDescent="0.3">
      <c r="A7" t="s">
        <v>524</v>
      </c>
      <c r="B7" t="s">
        <v>2</v>
      </c>
      <c r="C7" t="s">
        <v>27</v>
      </c>
      <c r="D7" t="e">
        <f>#REF!</f>
        <v>#REF!</v>
      </c>
      <c r="E7" s="9" t="e">
        <f>#REF!+(MD1B[[#This Row],[Time to KO]]/1440)</f>
        <v>#REF!</v>
      </c>
      <c r="F7" s="6">
        <f>MD1B[[#This Row],[time value]]*MD1B[[#This Row],[multiplicator]]</f>
        <v>-5</v>
      </c>
      <c r="G7" s="11">
        <v>-1</v>
      </c>
      <c r="H7" s="11">
        <v>5</v>
      </c>
      <c r="I7" s="12" t="s">
        <v>202</v>
      </c>
      <c r="J7" s="7" t="s">
        <v>18</v>
      </c>
      <c r="K7" t="s">
        <v>19</v>
      </c>
    </row>
    <row r="8" spans="1:11" x14ac:dyDescent="0.3">
      <c r="A8" t="s">
        <v>524</v>
      </c>
      <c r="B8" t="s">
        <v>2</v>
      </c>
      <c r="C8" t="s">
        <v>27</v>
      </c>
      <c r="D8" t="e">
        <f>#REF!</f>
        <v>#REF!</v>
      </c>
      <c r="E8" s="9" t="e">
        <f>#REF!+(MD1B[[#This Row],[Time to KO]]/1440)</f>
        <v>#REF!</v>
      </c>
      <c r="F8" s="6">
        <f>MD1B[[#This Row],[time value]]*MD1B[[#This Row],[multiplicator]]</f>
        <v>-5</v>
      </c>
      <c r="G8" s="11">
        <v>-1</v>
      </c>
      <c r="H8" s="11">
        <v>5</v>
      </c>
      <c r="I8" s="12" t="s">
        <v>202</v>
      </c>
      <c r="J8" s="7" t="s">
        <v>138</v>
      </c>
      <c r="K8" t="s">
        <v>19</v>
      </c>
    </row>
    <row r="9" spans="1:11" x14ac:dyDescent="0.3">
      <c r="A9" t="s">
        <v>524</v>
      </c>
      <c r="B9" t="s">
        <v>2</v>
      </c>
      <c r="C9" t="s">
        <v>27</v>
      </c>
      <c r="D9" t="e">
        <f>#REF!</f>
        <v>#REF!</v>
      </c>
      <c r="E9" s="9" t="e">
        <f>#REF!+(MD1B[[#This Row],[Time to KO]]/1440)</f>
        <v>#REF!</v>
      </c>
      <c r="F9" s="6">
        <f>MD1B[[#This Row],[time value]]*MD1B[[#This Row],[multiplicator]]</f>
        <v>-5</v>
      </c>
      <c r="G9" s="11">
        <v>-1</v>
      </c>
      <c r="H9" s="11">
        <v>5</v>
      </c>
      <c r="I9" s="12" t="s">
        <v>202</v>
      </c>
      <c r="J9" s="7" t="s">
        <v>142</v>
      </c>
      <c r="K9" t="s">
        <v>19</v>
      </c>
    </row>
    <row r="10" spans="1:11" x14ac:dyDescent="0.3">
      <c r="A10" t="s">
        <v>524</v>
      </c>
      <c r="B10" t="s">
        <v>2</v>
      </c>
      <c r="C10" t="s">
        <v>27</v>
      </c>
      <c r="D10" t="e">
        <f>#REF!&amp;" vs "&amp;#REF!</f>
        <v>#REF!</v>
      </c>
      <c r="E10" s="9" t="str" cm="1">
        <f t="array" ref="E10">_xlfn.IFS(MD1B[[#This Row],[reference wisle]]="KO",MIN(#REF!,#REF!,#REF!,#REF!)+(MD1B[[#This Row],[Time to KO]]/1440),MD1B[[#This Row],[reference wisle]]="EOD","End of Feed")</f>
        <v>End of Feed</v>
      </c>
      <c r="F10" s="6">
        <f>MD1B[[#This Row],[time value]]*MD1B[[#This Row],[multiplicator]]</f>
        <v>0</v>
      </c>
      <c r="G10" s="1">
        <v>1</v>
      </c>
      <c r="H10" s="11"/>
      <c r="I10" s="16" t="s">
        <v>499</v>
      </c>
      <c r="J10" s="25" t="s">
        <v>525</v>
      </c>
      <c r="K10" t="s">
        <v>19</v>
      </c>
    </row>
    <row r="11" spans="1:11" x14ac:dyDescent="0.3">
      <c r="J11" s="7"/>
      <c r="K11" s="7"/>
    </row>
  </sheetData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67DE-883C-5041-A623-BF5045B29B9D}">
  <sheetPr>
    <tabColor rgb="FFFFC000"/>
  </sheetPr>
  <dimension ref="A1:K11"/>
  <sheetViews>
    <sheetView workbookViewId="0">
      <selection activeCell="A2" sqref="A2:B2"/>
    </sheetView>
  </sheetViews>
  <sheetFormatPr defaultColWidth="11" defaultRowHeight="15.6" x14ac:dyDescent="0.3"/>
  <cols>
    <col min="1" max="1" width="18.3984375" bestFit="1" customWidth="1"/>
    <col min="2" max="4" width="18.3984375" customWidth="1"/>
    <col min="5" max="5" width="18.3984375" style="9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9" t="s">
        <v>6</v>
      </c>
      <c r="F1" s="1" t="s">
        <v>5</v>
      </c>
      <c r="G1" s="17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493</v>
      </c>
      <c r="B2" t="s">
        <v>20</v>
      </c>
      <c r="C2" t="s">
        <v>15</v>
      </c>
      <c r="D2" t="e">
        <f>#REF!&amp;" vs "&amp;#REF!</f>
        <v>#REF!</v>
      </c>
      <c r="E2" s="9" t="e" cm="1">
        <f t="array" ref="E2">_xlfn.IFS(MD1C[[#This Row],[reference wisle]]="KO",#REF!+(MD1C[[#This Row],[Time to KO]]/1440),MD1C[[#This Row],[reference wisle]]="FW",#REF!+(MD1C[[#This Row],[Time to KO]]/1440),MD1C[[#This Row],[reference wisle]]="EOD","End of Feed")</f>
        <v>#REF!</v>
      </c>
      <c r="F2" s="1">
        <f>MD1C[[#This Row],[time value]]*MD1C[[#This Row],[multiplicator]]</f>
        <v>-45</v>
      </c>
      <c r="G2" s="1">
        <v>-1</v>
      </c>
      <c r="H2" s="34">
        <v>45</v>
      </c>
      <c r="I2" s="34" t="s">
        <v>202</v>
      </c>
      <c r="J2" t="s">
        <v>23</v>
      </c>
      <c r="K2" s="2" t="s">
        <v>11</v>
      </c>
    </row>
    <row r="3" spans="1:11" x14ac:dyDescent="0.3">
      <c r="A3" t="s">
        <v>524</v>
      </c>
      <c r="B3" t="s">
        <v>2</v>
      </c>
      <c r="C3" t="s">
        <v>15</v>
      </c>
      <c r="D3" t="e">
        <f>#REF!&amp;" vs "&amp;#REF!</f>
        <v>#REF!</v>
      </c>
      <c r="E3" s="9" t="e" cm="1">
        <f t="array" ref="E3">_xlfn.IFS(MD1C[[#This Row],[reference wisle]]="KO",MIN(#REF!,#REF!,#REF!,#REF!)+(MD1C[[#This Row],[Time to KO]]/1440),MD1C[[#This Row],[reference wisle]]="EOD","End of Feed")</f>
        <v>#REF!</v>
      </c>
      <c r="F3" s="6">
        <f>MD1C[[#This Row],[time value]]*MD1C[[#This Row],[multiplicator]]</f>
        <v>-40</v>
      </c>
      <c r="G3" s="11">
        <v>-1</v>
      </c>
      <c r="H3" s="11">
        <v>40</v>
      </c>
      <c r="I3" s="12" t="s">
        <v>202</v>
      </c>
      <c r="J3" s="2" t="s">
        <v>10</v>
      </c>
      <c r="K3" s="2" t="s">
        <v>11</v>
      </c>
    </row>
    <row r="4" spans="1:11" x14ac:dyDescent="0.3">
      <c r="A4" t="s">
        <v>524</v>
      </c>
      <c r="B4" t="s">
        <v>2</v>
      </c>
      <c r="C4" t="s">
        <v>15</v>
      </c>
      <c r="D4" t="e">
        <f>#REF!&amp;" vs "&amp;#REF!</f>
        <v>#REF!</v>
      </c>
      <c r="E4" s="9" t="e" cm="1">
        <f t="array" ref="E4">_xlfn.IFS(MD1C[[#This Row],[reference wisle]]="KO",MIN(#REF!,#REF!,#REF!,#REF!)+(MD1C[[#This Row],[Time to KO]]/1440),MD1C[[#This Row],[reference wisle]]="EOD","End of Feed")</f>
        <v>#REF!</v>
      </c>
      <c r="F4" s="6">
        <f>MD1C[[#This Row],[time value]]*MD1C[[#This Row],[multiplicator]]</f>
        <v>-35</v>
      </c>
      <c r="G4" s="11">
        <v>-1</v>
      </c>
      <c r="H4" s="11">
        <v>35</v>
      </c>
      <c r="I4" s="12" t="s">
        <v>202</v>
      </c>
      <c r="J4" s="2" t="s">
        <v>13</v>
      </c>
      <c r="K4" s="2" t="s">
        <v>11</v>
      </c>
    </row>
    <row r="5" spans="1:11" x14ac:dyDescent="0.3">
      <c r="A5" t="s">
        <v>524</v>
      </c>
      <c r="B5" t="s">
        <v>2</v>
      </c>
      <c r="C5" t="s">
        <v>15</v>
      </c>
      <c r="D5" t="e">
        <f>#REF!&amp;" vs "&amp;#REF!</f>
        <v>#REF!</v>
      </c>
      <c r="E5" s="9" t="e" cm="1">
        <f t="array" ref="E5">_xlfn.IFS(MD1C[[#This Row],[reference wisle]]="KO",MIN(#REF!,#REF!,#REF!,#REF!)+(MD1C[[#This Row],[Time to KO]]/1440),MD1C[[#This Row],[reference wisle]]="EOD","End of Feed")</f>
        <v>#REF!</v>
      </c>
      <c r="F5" s="6">
        <f>MD1C[[#This Row],[time value]]*MD1C[[#This Row],[multiplicator]]</f>
        <v>-30</v>
      </c>
      <c r="G5" s="11">
        <v>-1</v>
      </c>
      <c r="H5" s="11">
        <v>30</v>
      </c>
      <c r="I5" s="12" t="s">
        <v>202</v>
      </c>
      <c r="J5" s="2" t="s">
        <v>14</v>
      </c>
      <c r="K5" s="2" t="s">
        <v>11</v>
      </c>
    </row>
    <row r="6" spans="1:11" x14ac:dyDescent="0.3">
      <c r="A6" t="s">
        <v>524</v>
      </c>
      <c r="B6" t="s">
        <v>2</v>
      </c>
      <c r="C6" t="s">
        <v>15</v>
      </c>
      <c r="D6" t="e">
        <f>#REF!</f>
        <v>#REF!</v>
      </c>
      <c r="E6" s="9" t="e">
        <f>#REF!+(MD1C[[#This Row],[Time to KO]]/1440)</f>
        <v>#REF!</v>
      </c>
      <c r="F6" s="6">
        <f>MD1C[[#This Row],[time value]]*MD1C[[#This Row],[multiplicator]]</f>
        <v>-5</v>
      </c>
      <c r="G6" s="11">
        <v>-1</v>
      </c>
      <c r="H6" s="11">
        <v>5</v>
      </c>
      <c r="I6" s="12" t="s">
        <v>202</v>
      </c>
      <c r="J6" s="7" t="s">
        <v>25</v>
      </c>
      <c r="K6" t="s">
        <v>19</v>
      </c>
    </row>
    <row r="7" spans="1:11" x14ac:dyDescent="0.3">
      <c r="A7" t="s">
        <v>524</v>
      </c>
      <c r="B7" t="s">
        <v>2</v>
      </c>
      <c r="C7" t="s">
        <v>15</v>
      </c>
      <c r="D7" t="e">
        <f>#REF!</f>
        <v>#REF!</v>
      </c>
      <c r="E7" s="9" t="e">
        <f>#REF!+(MD1C[[#This Row],[Time to KO]]/1440)</f>
        <v>#REF!</v>
      </c>
      <c r="F7" s="6">
        <f>MD1C[[#This Row],[time value]]*MD1C[[#This Row],[multiplicator]]</f>
        <v>-5</v>
      </c>
      <c r="G7" s="11">
        <v>-1</v>
      </c>
      <c r="H7" s="11">
        <v>5</v>
      </c>
      <c r="I7" s="12" t="s">
        <v>202</v>
      </c>
      <c r="J7" s="7" t="s">
        <v>18</v>
      </c>
      <c r="K7" t="s">
        <v>19</v>
      </c>
    </row>
    <row r="8" spans="1:11" x14ac:dyDescent="0.3">
      <c r="A8" t="s">
        <v>524</v>
      </c>
      <c r="B8" t="s">
        <v>2</v>
      </c>
      <c r="C8" t="s">
        <v>15</v>
      </c>
      <c r="D8" t="e">
        <f>#REF!</f>
        <v>#REF!</v>
      </c>
      <c r="E8" s="9" t="e">
        <f>#REF!+(MD1C[[#This Row],[Time to KO]]/1440)</f>
        <v>#REF!</v>
      </c>
      <c r="F8" s="6">
        <f>MD1C[[#This Row],[time value]]*MD1C[[#This Row],[multiplicator]]</f>
        <v>-5</v>
      </c>
      <c r="G8" s="11">
        <v>-1</v>
      </c>
      <c r="H8" s="11">
        <v>5</v>
      </c>
      <c r="I8" s="12" t="s">
        <v>202</v>
      </c>
      <c r="J8" s="7" t="s">
        <v>138</v>
      </c>
      <c r="K8" t="s">
        <v>19</v>
      </c>
    </row>
    <row r="9" spans="1:11" x14ac:dyDescent="0.3">
      <c r="A9" t="s">
        <v>524</v>
      </c>
      <c r="B9" t="s">
        <v>2</v>
      </c>
      <c r="C9" t="s">
        <v>15</v>
      </c>
      <c r="D9" t="e">
        <f>#REF!</f>
        <v>#REF!</v>
      </c>
      <c r="E9" s="9" t="e">
        <f>#REF!+(MD1C[[#This Row],[Time to KO]]/1440)</f>
        <v>#REF!</v>
      </c>
      <c r="F9" s="6">
        <f>MD1C[[#This Row],[time value]]*MD1C[[#This Row],[multiplicator]]</f>
        <v>-5</v>
      </c>
      <c r="G9" s="11">
        <v>-1</v>
      </c>
      <c r="H9" s="11">
        <v>5</v>
      </c>
      <c r="I9" s="12" t="s">
        <v>202</v>
      </c>
      <c r="J9" s="7" t="s">
        <v>142</v>
      </c>
      <c r="K9" t="s">
        <v>19</v>
      </c>
    </row>
    <row r="10" spans="1:11" x14ac:dyDescent="0.3">
      <c r="A10" t="s">
        <v>524</v>
      </c>
      <c r="B10" t="s">
        <v>2</v>
      </c>
      <c r="C10" t="s">
        <v>15</v>
      </c>
      <c r="D10" t="e">
        <f>#REF!&amp;" vs "&amp;#REF!</f>
        <v>#REF!</v>
      </c>
      <c r="E10" s="9" t="str" cm="1">
        <f t="array" ref="E10">_xlfn.IFS(MD1C[[#This Row],[reference wisle]]="KO",MIN(#REF!,#REF!,#REF!,#REF!)+(MD1C[[#This Row],[Time to KO]]/1440),MD1C[[#This Row],[reference wisle]]="EOD","End of Feed")</f>
        <v>End of Feed</v>
      </c>
      <c r="F10" s="6">
        <f>MD1C[[#This Row],[time value]]*MD1C[[#This Row],[multiplicator]]</f>
        <v>0</v>
      </c>
      <c r="G10" s="1">
        <v>1</v>
      </c>
      <c r="H10" s="11"/>
      <c r="I10" s="16" t="s">
        <v>499</v>
      </c>
      <c r="J10" s="25" t="s">
        <v>525</v>
      </c>
      <c r="K10" t="s">
        <v>19</v>
      </c>
    </row>
    <row r="11" spans="1:11" x14ac:dyDescent="0.3">
      <c r="J11" s="7"/>
      <c r="K11" s="7"/>
    </row>
  </sheetData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8F59-129B-4E4F-8E9C-19BB2818896E}">
  <sheetPr>
    <tabColor rgb="FFFFC000"/>
  </sheetPr>
  <dimension ref="A1:K11"/>
  <sheetViews>
    <sheetView workbookViewId="0">
      <selection activeCell="A2" sqref="A2:B2"/>
    </sheetView>
  </sheetViews>
  <sheetFormatPr defaultColWidth="11" defaultRowHeight="15.6" x14ac:dyDescent="0.3"/>
  <cols>
    <col min="1" max="1" width="18.3984375" bestFit="1" customWidth="1"/>
    <col min="2" max="4" width="18.3984375" customWidth="1"/>
    <col min="5" max="5" width="18.3984375" style="9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9" t="s">
        <v>6</v>
      </c>
      <c r="F1" s="1" t="s">
        <v>5</v>
      </c>
      <c r="G1" s="17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493</v>
      </c>
      <c r="B2" t="s">
        <v>20</v>
      </c>
      <c r="C2" t="s">
        <v>106</v>
      </c>
      <c r="D2" t="e">
        <f>#REF!&amp;" vs "&amp;#REF!</f>
        <v>#REF!</v>
      </c>
      <c r="E2" s="9" t="e" cm="1">
        <f t="array" ref="E2">_xlfn.IFS(MD1D[[#This Row],[reference wisle]]="KO",#REF!+(MD1D[[#This Row],[Time to KO]]/1440),MD1D[[#This Row],[reference wisle]]="FW",#REF!+(MD1D[[#This Row],[Time to KO]]/1440),MD1D[[#This Row],[reference wisle]]="EOD","End of Feed")</f>
        <v>#REF!</v>
      </c>
      <c r="F2" s="1">
        <f>MD1D[[#This Row],[time value]]*MD1D[[#This Row],[multiplicator]]</f>
        <v>-45</v>
      </c>
      <c r="G2" s="1">
        <v>-1</v>
      </c>
      <c r="H2" s="34">
        <v>45</v>
      </c>
      <c r="I2" s="34" t="s">
        <v>202</v>
      </c>
      <c r="J2" t="s">
        <v>23</v>
      </c>
      <c r="K2" s="2" t="s">
        <v>11</v>
      </c>
    </row>
    <row r="3" spans="1:11" x14ac:dyDescent="0.3">
      <c r="A3" t="s">
        <v>524</v>
      </c>
      <c r="B3" t="s">
        <v>2</v>
      </c>
      <c r="C3" t="s">
        <v>106</v>
      </c>
      <c r="D3" t="e">
        <f>#REF!&amp;" vs "&amp;#REF!</f>
        <v>#REF!</v>
      </c>
      <c r="E3" s="9" t="e" cm="1">
        <f t="array" ref="E3">_xlfn.IFS(MD1D[[#This Row],[reference wisle]]="KO",MIN(#REF!,#REF!,#REF!,#REF!)+(MD1D[[#This Row],[Time to KO]]/1440),MD1D[[#This Row],[reference wisle]]="EOD","End of Feed")</f>
        <v>#REF!</v>
      </c>
      <c r="F3" s="6">
        <f>MD1D[[#This Row],[time value]]*MD1D[[#This Row],[multiplicator]]</f>
        <v>-40</v>
      </c>
      <c r="G3" s="11">
        <v>-1</v>
      </c>
      <c r="H3" s="11">
        <v>40</v>
      </c>
      <c r="I3" s="12" t="s">
        <v>202</v>
      </c>
      <c r="J3" s="2" t="s">
        <v>10</v>
      </c>
      <c r="K3" s="2" t="s">
        <v>11</v>
      </c>
    </row>
    <row r="4" spans="1:11" x14ac:dyDescent="0.3">
      <c r="A4" t="s">
        <v>524</v>
      </c>
      <c r="B4" t="s">
        <v>2</v>
      </c>
      <c r="C4" t="s">
        <v>106</v>
      </c>
      <c r="D4" t="e">
        <f>#REF!&amp;" vs "&amp;#REF!</f>
        <v>#REF!</v>
      </c>
      <c r="E4" s="9" t="e" cm="1">
        <f t="array" ref="E4">_xlfn.IFS(MD1D[[#This Row],[reference wisle]]="KO",MIN(#REF!,#REF!,#REF!,#REF!)+(MD1D[[#This Row],[Time to KO]]/1440),MD1D[[#This Row],[reference wisle]]="EOD","End of Feed")</f>
        <v>#REF!</v>
      </c>
      <c r="F4" s="6">
        <f>MD1D[[#This Row],[time value]]*MD1D[[#This Row],[multiplicator]]</f>
        <v>-35</v>
      </c>
      <c r="G4" s="11">
        <v>-1</v>
      </c>
      <c r="H4" s="11">
        <v>35</v>
      </c>
      <c r="I4" s="12" t="s">
        <v>202</v>
      </c>
      <c r="J4" s="2" t="s">
        <v>13</v>
      </c>
      <c r="K4" s="2" t="s">
        <v>11</v>
      </c>
    </row>
    <row r="5" spans="1:11" x14ac:dyDescent="0.3">
      <c r="A5" t="s">
        <v>524</v>
      </c>
      <c r="B5" t="s">
        <v>2</v>
      </c>
      <c r="C5" t="s">
        <v>106</v>
      </c>
      <c r="D5" t="e">
        <f>#REF!&amp;" vs "&amp;#REF!</f>
        <v>#REF!</v>
      </c>
      <c r="E5" s="9" t="e" cm="1">
        <f t="array" ref="E5">_xlfn.IFS(MD1D[[#This Row],[reference wisle]]="KO",MIN(#REF!,#REF!,#REF!,#REF!)+(MD1D[[#This Row],[Time to KO]]/1440),MD1D[[#This Row],[reference wisle]]="EOD","End of Feed")</f>
        <v>#REF!</v>
      </c>
      <c r="F5" s="6">
        <f>MD1D[[#This Row],[time value]]*MD1D[[#This Row],[multiplicator]]</f>
        <v>-30</v>
      </c>
      <c r="G5" s="11">
        <v>-1</v>
      </c>
      <c r="H5" s="11">
        <v>30</v>
      </c>
      <c r="I5" s="12" t="s">
        <v>202</v>
      </c>
      <c r="J5" s="2" t="s">
        <v>14</v>
      </c>
      <c r="K5" s="2" t="s">
        <v>11</v>
      </c>
    </row>
    <row r="6" spans="1:11" x14ac:dyDescent="0.3">
      <c r="A6" t="s">
        <v>524</v>
      </c>
      <c r="B6" t="s">
        <v>2</v>
      </c>
      <c r="C6" t="s">
        <v>106</v>
      </c>
      <c r="D6" t="e">
        <f>#REF!</f>
        <v>#REF!</v>
      </c>
      <c r="E6" s="9" t="e">
        <f>#REF!+(MD1D[[#This Row],[Time to KO]]/1440)</f>
        <v>#REF!</v>
      </c>
      <c r="F6" s="6">
        <f>MD1D[[#This Row],[time value]]*MD1D[[#This Row],[multiplicator]]</f>
        <v>-5</v>
      </c>
      <c r="G6" s="11">
        <v>-1</v>
      </c>
      <c r="H6" s="11">
        <v>5</v>
      </c>
      <c r="I6" s="12" t="s">
        <v>202</v>
      </c>
      <c r="J6" s="7" t="s">
        <v>25</v>
      </c>
      <c r="K6" t="s">
        <v>19</v>
      </c>
    </row>
    <row r="7" spans="1:11" x14ac:dyDescent="0.3">
      <c r="A7" t="s">
        <v>524</v>
      </c>
      <c r="B7" t="s">
        <v>2</v>
      </c>
      <c r="C7" t="s">
        <v>106</v>
      </c>
      <c r="D7" t="e">
        <f>#REF!</f>
        <v>#REF!</v>
      </c>
      <c r="E7" s="9" t="e">
        <f>#REF!+(MD1D[[#This Row],[Time to KO]]/1440)</f>
        <v>#REF!</v>
      </c>
      <c r="F7" s="6">
        <f>MD1D[[#This Row],[time value]]*MD1D[[#This Row],[multiplicator]]</f>
        <v>-5</v>
      </c>
      <c r="G7" s="11">
        <v>-1</v>
      </c>
      <c r="H7" s="11">
        <v>5</v>
      </c>
      <c r="I7" s="12" t="s">
        <v>202</v>
      </c>
      <c r="J7" s="7" t="s">
        <v>18</v>
      </c>
      <c r="K7" t="s">
        <v>19</v>
      </c>
    </row>
    <row r="8" spans="1:11" x14ac:dyDescent="0.3">
      <c r="A8" t="s">
        <v>524</v>
      </c>
      <c r="B8" t="s">
        <v>2</v>
      </c>
      <c r="C8" t="s">
        <v>106</v>
      </c>
      <c r="D8" t="e">
        <f>#REF!</f>
        <v>#REF!</v>
      </c>
      <c r="E8" s="9" t="e">
        <f>#REF!+(MD1D[[#This Row],[Time to KO]]/1440)</f>
        <v>#REF!</v>
      </c>
      <c r="F8" s="6">
        <f>MD1D[[#This Row],[time value]]*MD1D[[#This Row],[multiplicator]]</f>
        <v>-5</v>
      </c>
      <c r="G8" s="11">
        <v>-1</v>
      </c>
      <c r="H8" s="11">
        <v>5</v>
      </c>
      <c r="I8" s="12" t="s">
        <v>202</v>
      </c>
      <c r="J8" s="7" t="s">
        <v>138</v>
      </c>
      <c r="K8" t="s">
        <v>19</v>
      </c>
    </row>
    <row r="9" spans="1:11" x14ac:dyDescent="0.3">
      <c r="A9" t="s">
        <v>524</v>
      </c>
      <c r="B9" t="s">
        <v>2</v>
      </c>
      <c r="C9" t="s">
        <v>106</v>
      </c>
      <c r="D9" t="e">
        <f>#REF!</f>
        <v>#REF!</v>
      </c>
      <c r="E9" s="9" t="e">
        <f>#REF!+(MD1D[[#This Row],[Time to KO]]/1440)</f>
        <v>#REF!</v>
      </c>
      <c r="F9" s="6">
        <f>MD1D[[#This Row],[time value]]*MD1D[[#This Row],[multiplicator]]</f>
        <v>-5</v>
      </c>
      <c r="G9" s="11">
        <v>-1</v>
      </c>
      <c r="H9" s="11">
        <v>5</v>
      </c>
      <c r="I9" s="12" t="s">
        <v>202</v>
      </c>
      <c r="J9" s="7" t="s">
        <v>142</v>
      </c>
      <c r="K9" t="s">
        <v>19</v>
      </c>
    </row>
    <row r="10" spans="1:11" x14ac:dyDescent="0.3">
      <c r="A10" t="s">
        <v>524</v>
      </c>
      <c r="B10" t="s">
        <v>2</v>
      </c>
      <c r="C10" t="s">
        <v>106</v>
      </c>
      <c r="D10" t="e">
        <f>#REF!&amp;" vs "&amp;#REF!</f>
        <v>#REF!</v>
      </c>
      <c r="E10" s="9" t="str" cm="1">
        <f t="array" ref="E10">_xlfn.IFS(MD1D[[#This Row],[reference wisle]]="KO",MIN(#REF!,#REF!,#REF!,#REF!)+(MD1D[[#This Row],[Time to KO]]/1440),MD1D[[#This Row],[reference wisle]]="EOD","End of Feed")</f>
        <v>End of Feed</v>
      </c>
      <c r="F10" s="6">
        <f>MD1D[[#This Row],[time value]]*MD1D[[#This Row],[multiplicator]]</f>
        <v>0</v>
      </c>
      <c r="G10" s="1">
        <v>1</v>
      </c>
      <c r="H10" s="11"/>
      <c r="I10" s="16" t="s">
        <v>499</v>
      </c>
      <c r="J10" s="25" t="s">
        <v>525</v>
      </c>
      <c r="K10" t="s">
        <v>19</v>
      </c>
    </row>
    <row r="11" spans="1:11" x14ac:dyDescent="0.3">
      <c r="J11" s="7"/>
      <c r="K11" s="7"/>
    </row>
  </sheetData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165D-1064-D44F-9EFD-E45BCFE1E7F2}">
  <sheetPr>
    <tabColor rgb="FFFFC000"/>
  </sheetPr>
  <dimension ref="A1:K11"/>
  <sheetViews>
    <sheetView workbookViewId="0">
      <selection activeCell="A2" sqref="A2:B2"/>
    </sheetView>
  </sheetViews>
  <sheetFormatPr defaultColWidth="11" defaultRowHeight="15.6" x14ac:dyDescent="0.3"/>
  <cols>
    <col min="1" max="1" width="18.3984375" bestFit="1" customWidth="1"/>
    <col min="2" max="4" width="18.3984375" customWidth="1"/>
    <col min="5" max="5" width="18.3984375" style="9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9" t="s">
        <v>6</v>
      </c>
      <c r="F1" s="1" t="s">
        <v>5</v>
      </c>
      <c r="G1" s="17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493</v>
      </c>
      <c r="B2" t="s">
        <v>20</v>
      </c>
      <c r="C2" t="s">
        <v>9</v>
      </c>
      <c r="D2" t="e">
        <f>#REF!&amp;" vs "&amp;#REF!</f>
        <v>#REF!</v>
      </c>
      <c r="E2" s="9" t="e" cm="1">
        <f t="array" ref="E2">_xlfn.IFS(MD1E[[#This Row],[reference wisle]]="KO",#REF!+(MD1E[[#This Row],[Time to KO]]/1440),MD1E[[#This Row],[reference wisle]]="FW",#REF!+(MD1E[[#This Row],[Time to KO]]/1440),MD1E[[#This Row],[reference wisle]]="EOD","End of Feed")</f>
        <v>#REF!</v>
      </c>
      <c r="F2" s="1">
        <f>MD1E[[#This Row],[time value]]*MD1E[[#This Row],[multiplicator]]</f>
        <v>-45</v>
      </c>
      <c r="G2" s="1">
        <v>-1</v>
      </c>
      <c r="H2" s="34">
        <v>45</v>
      </c>
      <c r="I2" s="34" t="s">
        <v>202</v>
      </c>
      <c r="J2" t="s">
        <v>23</v>
      </c>
      <c r="K2" s="2" t="s">
        <v>11</v>
      </c>
    </row>
    <row r="3" spans="1:11" x14ac:dyDescent="0.3">
      <c r="A3" t="s">
        <v>524</v>
      </c>
      <c r="B3" t="s">
        <v>2</v>
      </c>
      <c r="C3" t="s">
        <v>9</v>
      </c>
      <c r="D3" t="e">
        <f>#REF!&amp;" vs "&amp;#REF!</f>
        <v>#REF!</v>
      </c>
      <c r="E3" s="9" t="e" cm="1">
        <f t="array" ref="E3">_xlfn.IFS(MD1E[[#This Row],[reference wisle]]="KO",MIN(#REF!,#REF!,#REF!,#REF!)+(MD1E[[#This Row],[Time to KO]]/1440),MD1E[[#This Row],[reference wisle]]="EOD","End of Feed")</f>
        <v>#REF!</v>
      </c>
      <c r="F3" s="6">
        <f>MD1E[[#This Row],[time value]]*MD1E[[#This Row],[multiplicator]]</f>
        <v>-40</v>
      </c>
      <c r="G3" s="11">
        <v>-1</v>
      </c>
      <c r="H3" s="11">
        <v>40</v>
      </c>
      <c r="I3" s="12" t="s">
        <v>202</v>
      </c>
      <c r="J3" s="2" t="s">
        <v>10</v>
      </c>
      <c r="K3" s="2" t="s">
        <v>11</v>
      </c>
    </row>
    <row r="4" spans="1:11" x14ac:dyDescent="0.3">
      <c r="A4" t="s">
        <v>524</v>
      </c>
      <c r="B4" t="s">
        <v>2</v>
      </c>
      <c r="C4" t="s">
        <v>9</v>
      </c>
      <c r="D4" t="e">
        <f>#REF!&amp;" vs "&amp;#REF!</f>
        <v>#REF!</v>
      </c>
      <c r="E4" s="9" t="e" cm="1">
        <f t="array" ref="E4">_xlfn.IFS(MD1E[[#This Row],[reference wisle]]="KO",MIN(#REF!,#REF!,#REF!,#REF!)+(MD1E[[#This Row],[Time to KO]]/1440),MD1E[[#This Row],[reference wisle]]="EOD","End of Feed")</f>
        <v>#REF!</v>
      </c>
      <c r="F4" s="6">
        <f>MD1E[[#This Row],[time value]]*MD1E[[#This Row],[multiplicator]]</f>
        <v>-35</v>
      </c>
      <c r="G4" s="11">
        <v>-1</v>
      </c>
      <c r="H4" s="11">
        <v>35</v>
      </c>
      <c r="I4" s="12" t="s">
        <v>202</v>
      </c>
      <c r="J4" s="2" t="s">
        <v>13</v>
      </c>
      <c r="K4" s="2" t="s">
        <v>11</v>
      </c>
    </row>
    <row r="5" spans="1:11" x14ac:dyDescent="0.3">
      <c r="A5" t="s">
        <v>524</v>
      </c>
      <c r="B5" t="s">
        <v>2</v>
      </c>
      <c r="C5" t="s">
        <v>9</v>
      </c>
      <c r="D5" t="e">
        <f>#REF!&amp;" vs "&amp;#REF!</f>
        <v>#REF!</v>
      </c>
      <c r="E5" s="9" t="e" cm="1">
        <f t="array" ref="E5">_xlfn.IFS(MD1E[[#This Row],[reference wisle]]="KO",MIN(#REF!,#REF!,#REF!,#REF!)+(MD1E[[#This Row],[Time to KO]]/1440),MD1E[[#This Row],[reference wisle]]="EOD","End of Feed")</f>
        <v>#REF!</v>
      </c>
      <c r="F5" s="6">
        <f>MD1E[[#This Row],[time value]]*MD1E[[#This Row],[multiplicator]]</f>
        <v>-30</v>
      </c>
      <c r="G5" s="11">
        <v>-1</v>
      </c>
      <c r="H5" s="11">
        <v>30</v>
      </c>
      <c r="I5" s="12" t="s">
        <v>202</v>
      </c>
      <c r="J5" s="2" t="s">
        <v>14</v>
      </c>
      <c r="K5" s="2" t="s">
        <v>11</v>
      </c>
    </row>
    <row r="6" spans="1:11" x14ac:dyDescent="0.3">
      <c r="A6" t="s">
        <v>524</v>
      </c>
      <c r="B6" t="s">
        <v>2</v>
      </c>
      <c r="C6" t="s">
        <v>9</v>
      </c>
      <c r="D6" t="e">
        <f>#REF!</f>
        <v>#REF!</v>
      </c>
      <c r="E6" s="9" t="e">
        <f>#REF!+(MD1E[[#This Row],[Time to KO]]/1440)</f>
        <v>#REF!</v>
      </c>
      <c r="F6" s="6">
        <f>MD1E[[#This Row],[time value]]*MD1E[[#This Row],[multiplicator]]</f>
        <v>-5</v>
      </c>
      <c r="G6" s="11">
        <v>-1</v>
      </c>
      <c r="H6" s="11">
        <v>5</v>
      </c>
      <c r="I6" s="12" t="s">
        <v>202</v>
      </c>
      <c r="J6" s="7" t="s">
        <v>25</v>
      </c>
      <c r="K6" t="s">
        <v>19</v>
      </c>
    </row>
    <row r="7" spans="1:11" x14ac:dyDescent="0.3">
      <c r="A7" t="s">
        <v>524</v>
      </c>
      <c r="B7" t="s">
        <v>2</v>
      </c>
      <c r="C7" t="s">
        <v>9</v>
      </c>
      <c r="D7" t="e">
        <f>#REF!</f>
        <v>#REF!</v>
      </c>
      <c r="E7" s="9" t="e">
        <f>#REF!+(MD1E[[#This Row],[Time to KO]]/1440)</f>
        <v>#REF!</v>
      </c>
      <c r="F7" s="6">
        <f>MD1E[[#This Row],[time value]]*MD1E[[#This Row],[multiplicator]]</f>
        <v>-5</v>
      </c>
      <c r="G7" s="11">
        <v>-1</v>
      </c>
      <c r="H7" s="11">
        <v>5</v>
      </c>
      <c r="I7" s="12" t="s">
        <v>202</v>
      </c>
      <c r="J7" s="7" t="s">
        <v>18</v>
      </c>
      <c r="K7" t="s">
        <v>19</v>
      </c>
    </row>
    <row r="8" spans="1:11" x14ac:dyDescent="0.3">
      <c r="A8" t="s">
        <v>524</v>
      </c>
      <c r="B8" t="s">
        <v>2</v>
      </c>
      <c r="C8" t="s">
        <v>9</v>
      </c>
      <c r="D8" t="e">
        <f>#REF!</f>
        <v>#REF!</v>
      </c>
      <c r="E8" s="9" t="e">
        <f>#REF!+(MD1E[[#This Row],[Time to KO]]/1440)</f>
        <v>#REF!</v>
      </c>
      <c r="F8" s="6">
        <f>MD1E[[#This Row],[time value]]*MD1E[[#This Row],[multiplicator]]</f>
        <v>-5</v>
      </c>
      <c r="G8" s="11">
        <v>-1</v>
      </c>
      <c r="H8" s="11">
        <v>5</v>
      </c>
      <c r="I8" s="12" t="s">
        <v>202</v>
      </c>
      <c r="J8" s="7" t="s">
        <v>138</v>
      </c>
      <c r="K8" t="s">
        <v>19</v>
      </c>
    </row>
    <row r="9" spans="1:11" x14ac:dyDescent="0.3">
      <c r="A9" t="s">
        <v>524</v>
      </c>
      <c r="B9" t="s">
        <v>2</v>
      </c>
      <c r="C9" t="s">
        <v>9</v>
      </c>
      <c r="D9" t="e">
        <f>#REF!</f>
        <v>#REF!</v>
      </c>
      <c r="E9" s="9" t="e">
        <f>#REF!+(MD1E[[#This Row],[Time to KO]]/1440)</f>
        <v>#REF!</v>
      </c>
      <c r="F9" s="6">
        <f>MD1E[[#This Row],[time value]]*MD1E[[#This Row],[multiplicator]]</f>
        <v>-5</v>
      </c>
      <c r="G9" s="11">
        <v>-1</v>
      </c>
      <c r="H9" s="11">
        <v>5</v>
      </c>
      <c r="I9" s="12" t="s">
        <v>202</v>
      </c>
      <c r="J9" s="7" t="s">
        <v>142</v>
      </c>
      <c r="K9" t="s">
        <v>19</v>
      </c>
    </row>
    <row r="10" spans="1:11" x14ac:dyDescent="0.3">
      <c r="A10" t="s">
        <v>524</v>
      </c>
      <c r="B10" t="s">
        <v>2</v>
      </c>
      <c r="C10" t="s">
        <v>9</v>
      </c>
      <c r="D10" t="e">
        <f>#REF!&amp;" vs "&amp;#REF!</f>
        <v>#REF!</v>
      </c>
      <c r="E10" s="9" t="str" cm="1">
        <f t="array" ref="E10">_xlfn.IFS(MD1E[[#This Row],[reference wisle]]="KO",MIN(#REF!,#REF!,#REF!,#REF!)+(MD1E[[#This Row],[Time to KO]]/1440),MD1E[[#This Row],[reference wisle]]="EOD","End of Feed")</f>
        <v>End of Feed</v>
      </c>
      <c r="F10" s="6">
        <f>MD1E[[#This Row],[time value]]*MD1E[[#This Row],[multiplicator]]</f>
        <v>0</v>
      </c>
      <c r="G10" s="1">
        <v>1</v>
      </c>
      <c r="H10" s="11"/>
      <c r="I10" s="16" t="s">
        <v>499</v>
      </c>
      <c r="J10" s="25" t="s">
        <v>525</v>
      </c>
      <c r="K10" t="s">
        <v>19</v>
      </c>
    </row>
    <row r="11" spans="1:11" x14ac:dyDescent="0.3">
      <c r="J11" s="7"/>
      <c r="K11" s="7"/>
    </row>
  </sheetData>
  <pageMargins left="0.7" right="0.7" top="0.78740157499999996" bottom="0.78740157499999996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0C1F-68D0-1F4C-9413-F6FDD4F2DC02}">
  <sheetPr>
    <tabColor rgb="FFFFC000"/>
  </sheetPr>
  <dimension ref="A1:K11"/>
  <sheetViews>
    <sheetView workbookViewId="0">
      <selection activeCell="A2" sqref="A2:B2"/>
    </sheetView>
  </sheetViews>
  <sheetFormatPr defaultColWidth="11" defaultRowHeight="15.6" x14ac:dyDescent="0.3"/>
  <cols>
    <col min="1" max="1" width="18.3984375" bestFit="1" customWidth="1"/>
    <col min="2" max="4" width="18.3984375" customWidth="1"/>
    <col min="5" max="5" width="18.3984375" style="9" customWidth="1"/>
    <col min="6" max="8" width="13.09765625" style="1" customWidth="1"/>
    <col min="9" max="9" width="13.09765625" style="16" customWidth="1"/>
    <col min="10" max="10" width="55.09765625" bestFit="1" customWidth="1"/>
    <col min="11" max="11" width="18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s="9" t="s">
        <v>6</v>
      </c>
      <c r="F1" s="1" t="s">
        <v>5</v>
      </c>
      <c r="G1" s="17" t="s">
        <v>489</v>
      </c>
      <c r="H1" s="17" t="s">
        <v>490</v>
      </c>
      <c r="I1" s="16" t="s">
        <v>491</v>
      </c>
      <c r="J1" t="s">
        <v>7</v>
      </c>
      <c r="K1" t="s">
        <v>8</v>
      </c>
    </row>
    <row r="2" spans="1:11" x14ac:dyDescent="0.3">
      <c r="A2" t="s">
        <v>493</v>
      </c>
      <c r="B2" t="s">
        <v>20</v>
      </c>
      <c r="C2" t="s">
        <v>12</v>
      </c>
      <c r="D2" t="e">
        <f>#REF!&amp;" vs "&amp;#REF!</f>
        <v>#REF!</v>
      </c>
      <c r="E2" s="9" t="e" cm="1">
        <f t="array" ref="E2">_xlfn.IFS(MD1F[[#This Row],[reference wisle]]="KO",#REF!+(MD1F[[#This Row],[Time to KO]]/1440),MD1F[[#This Row],[reference wisle]]="FW",#REF!+(MD1F[[#This Row],[Time to KO]]/1440),MD1F[[#This Row],[reference wisle]]="EOD","End of Feed")</f>
        <v>#REF!</v>
      </c>
      <c r="F2" s="1">
        <f>MD1F[[#This Row],[time value]]*MD1F[[#This Row],[multiplicator]]</f>
        <v>-45</v>
      </c>
      <c r="G2" s="1">
        <v>-1</v>
      </c>
      <c r="H2" s="34">
        <v>45</v>
      </c>
      <c r="I2" s="34" t="s">
        <v>202</v>
      </c>
      <c r="J2" t="s">
        <v>23</v>
      </c>
      <c r="K2" s="2" t="s">
        <v>11</v>
      </c>
    </row>
    <row r="3" spans="1:11" x14ac:dyDescent="0.3">
      <c r="A3" t="s">
        <v>524</v>
      </c>
      <c r="B3" t="s">
        <v>2</v>
      </c>
      <c r="C3" t="s">
        <v>12</v>
      </c>
      <c r="D3" t="e">
        <f>#REF!&amp;" vs "&amp;#REF!</f>
        <v>#REF!</v>
      </c>
      <c r="E3" s="9" t="e" cm="1">
        <f t="array" ref="E3">_xlfn.IFS(MD1F[[#This Row],[reference wisle]]="KO",MIN(#REF!,#REF!,#REF!,#REF!)+(MD1F[[#This Row],[Time to KO]]/1440),MD1F[[#This Row],[reference wisle]]="EOD","End of Feed")</f>
        <v>#REF!</v>
      </c>
      <c r="F3" s="6">
        <f>MD1F[[#This Row],[time value]]*MD1F[[#This Row],[multiplicator]]</f>
        <v>-40</v>
      </c>
      <c r="G3" s="11">
        <v>-1</v>
      </c>
      <c r="H3" s="11">
        <v>40</v>
      </c>
      <c r="I3" s="12" t="s">
        <v>202</v>
      </c>
      <c r="J3" s="2" t="s">
        <v>10</v>
      </c>
      <c r="K3" s="2" t="s">
        <v>11</v>
      </c>
    </row>
    <row r="4" spans="1:11" x14ac:dyDescent="0.3">
      <c r="A4" t="s">
        <v>524</v>
      </c>
      <c r="B4" t="s">
        <v>2</v>
      </c>
      <c r="C4" t="s">
        <v>12</v>
      </c>
      <c r="D4" t="e">
        <f>#REF!&amp;" vs "&amp;#REF!</f>
        <v>#REF!</v>
      </c>
      <c r="E4" s="9" t="e" cm="1">
        <f t="array" ref="E4">_xlfn.IFS(MD1F[[#This Row],[reference wisle]]="KO",MIN(#REF!,#REF!,#REF!,#REF!)+(MD1F[[#This Row],[Time to KO]]/1440),MD1F[[#This Row],[reference wisle]]="EOD","End of Feed")</f>
        <v>#REF!</v>
      </c>
      <c r="F4" s="6">
        <f>MD1F[[#This Row],[time value]]*MD1F[[#This Row],[multiplicator]]</f>
        <v>-35</v>
      </c>
      <c r="G4" s="11">
        <v>-1</v>
      </c>
      <c r="H4" s="11">
        <v>35</v>
      </c>
      <c r="I4" s="12" t="s">
        <v>202</v>
      </c>
      <c r="J4" s="2" t="s">
        <v>13</v>
      </c>
      <c r="K4" s="2" t="s">
        <v>11</v>
      </c>
    </row>
    <row r="5" spans="1:11" x14ac:dyDescent="0.3">
      <c r="A5" t="s">
        <v>524</v>
      </c>
      <c r="B5" t="s">
        <v>2</v>
      </c>
      <c r="C5" t="s">
        <v>12</v>
      </c>
      <c r="D5" t="e">
        <f>#REF!&amp;" vs "&amp;#REF!</f>
        <v>#REF!</v>
      </c>
      <c r="E5" s="9" t="e" cm="1">
        <f t="array" ref="E5">_xlfn.IFS(MD1F[[#This Row],[reference wisle]]="KO",MIN(#REF!,#REF!,#REF!,#REF!)+(MD1F[[#This Row],[Time to KO]]/1440),MD1F[[#This Row],[reference wisle]]="EOD","End of Feed")</f>
        <v>#REF!</v>
      </c>
      <c r="F5" s="6">
        <f>MD1F[[#This Row],[time value]]*MD1F[[#This Row],[multiplicator]]</f>
        <v>-30</v>
      </c>
      <c r="G5" s="11">
        <v>-1</v>
      </c>
      <c r="H5" s="11">
        <v>30</v>
      </c>
      <c r="I5" s="12" t="s">
        <v>202</v>
      </c>
      <c r="J5" s="2" t="s">
        <v>14</v>
      </c>
      <c r="K5" s="2" t="s">
        <v>11</v>
      </c>
    </row>
    <row r="6" spans="1:11" x14ac:dyDescent="0.3">
      <c r="A6" t="s">
        <v>524</v>
      </c>
      <c r="B6" t="s">
        <v>2</v>
      </c>
      <c r="C6" t="s">
        <v>12</v>
      </c>
      <c r="D6" t="e">
        <f>#REF!</f>
        <v>#REF!</v>
      </c>
      <c r="E6" s="9" t="e">
        <f>#REF!+(MD1F[[#This Row],[Time to KO]]/1440)</f>
        <v>#REF!</v>
      </c>
      <c r="F6" s="6">
        <f>MD1F[[#This Row],[time value]]*MD1F[[#This Row],[multiplicator]]</f>
        <v>-5</v>
      </c>
      <c r="G6" s="11">
        <v>-1</v>
      </c>
      <c r="H6" s="11">
        <v>5</v>
      </c>
      <c r="I6" s="12" t="s">
        <v>202</v>
      </c>
      <c r="J6" s="7" t="s">
        <v>25</v>
      </c>
      <c r="K6" t="s">
        <v>19</v>
      </c>
    </row>
    <row r="7" spans="1:11" x14ac:dyDescent="0.3">
      <c r="A7" t="s">
        <v>524</v>
      </c>
      <c r="B7" t="s">
        <v>2</v>
      </c>
      <c r="C7" t="s">
        <v>12</v>
      </c>
      <c r="D7" t="e">
        <f>#REF!</f>
        <v>#REF!</v>
      </c>
      <c r="E7" s="9" t="e">
        <f>#REF!+(MD1F[[#This Row],[Time to KO]]/1440)</f>
        <v>#REF!</v>
      </c>
      <c r="F7" s="6">
        <f>MD1F[[#This Row],[time value]]*MD1F[[#This Row],[multiplicator]]</f>
        <v>-5</v>
      </c>
      <c r="G7" s="11">
        <v>-1</v>
      </c>
      <c r="H7" s="11">
        <v>5</v>
      </c>
      <c r="I7" s="12" t="s">
        <v>202</v>
      </c>
      <c r="J7" s="7" t="s">
        <v>18</v>
      </c>
      <c r="K7" t="s">
        <v>19</v>
      </c>
    </row>
    <row r="8" spans="1:11" x14ac:dyDescent="0.3">
      <c r="A8" t="s">
        <v>524</v>
      </c>
      <c r="B8" t="s">
        <v>2</v>
      </c>
      <c r="C8" t="s">
        <v>12</v>
      </c>
      <c r="D8" t="e">
        <f>#REF!</f>
        <v>#REF!</v>
      </c>
      <c r="E8" s="9" t="e">
        <f>#REF!+(MD1F[[#This Row],[Time to KO]]/1440)</f>
        <v>#REF!</v>
      </c>
      <c r="F8" s="6">
        <f>MD1F[[#This Row],[time value]]*MD1F[[#This Row],[multiplicator]]</f>
        <v>-5</v>
      </c>
      <c r="G8" s="11">
        <v>-1</v>
      </c>
      <c r="H8" s="11">
        <v>5</v>
      </c>
      <c r="I8" s="12" t="s">
        <v>202</v>
      </c>
      <c r="J8" s="7" t="s">
        <v>138</v>
      </c>
      <c r="K8" t="s">
        <v>19</v>
      </c>
    </row>
    <row r="9" spans="1:11" x14ac:dyDescent="0.3">
      <c r="A9" t="s">
        <v>524</v>
      </c>
      <c r="B9" t="s">
        <v>2</v>
      </c>
      <c r="C9" t="s">
        <v>12</v>
      </c>
      <c r="D9" t="e">
        <f>#REF!</f>
        <v>#REF!</v>
      </c>
      <c r="E9" s="9" t="e">
        <f>#REF!+(MD1F[[#This Row],[Time to KO]]/1440)</f>
        <v>#REF!</v>
      </c>
      <c r="F9" s="6">
        <f>MD1F[[#This Row],[time value]]*MD1F[[#This Row],[multiplicator]]</f>
        <v>-5</v>
      </c>
      <c r="G9" s="11">
        <v>-1</v>
      </c>
      <c r="H9" s="11">
        <v>5</v>
      </c>
      <c r="I9" s="12" t="s">
        <v>202</v>
      </c>
      <c r="J9" s="7" t="s">
        <v>142</v>
      </c>
      <c r="K9" t="s">
        <v>19</v>
      </c>
    </row>
    <row r="10" spans="1:11" x14ac:dyDescent="0.3">
      <c r="A10" t="s">
        <v>524</v>
      </c>
      <c r="B10" t="s">
        <v>2</v>
      </c>
      <c r="C10" t="s">
        <v>12</v>
      </c>
      <c r="D10" t="e">
        <f>#REF!&amp;" vs "&amp;#REF!</f>
        <v>#REF!</v>
      </c>
      <c r="E10" s="9" t="str" cm="1">
        <f t="array" ref="E10">_xlfn.IFS(MD1F[[#This Row],[reference wisle]]="KO",MIN(#REF!,#REF!,#REF!,#REF!)+(MD1F[[#This Row],[Time to KO]]/1440),MD1F[[#This Row],[reference wisle]]="EOD","End of Feed")</f>
        <v>End of Feed</v>
      </c>
      <c r="F10" s="6">
        <f>MD1F[[#This Row],[time value]]*MD1F[[#This Row],[multiplicator]]</f>
        <v>0</v>
      </c>
      <c r="G10" s="1">
        <v>1</v>
      </c>
      <c r="H10" s="11"/>
      <c r="I10" s="16" t="s">
        <v>499</v>
      </c>
      <c r="J10" s="25" t="s">
        <v>525</v>
      </c>
      <c r="K10" t="s">
        <v>19</v>
      </c>
    </row>
    <row r="11" spans="1:11" x14ac:dyDescent="0.3">
      <c r="J11" s="7"/>
      <c r="K11" s="7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71f83f84-541d-4ef5-86f4-419636e70258" xsi:nil="true"/>
    <Media_x0020_Partner_x0020_Company_x0020_Name xmlns="71f83f84-541d-4ef5-86f4-419636e70258" xsi:nil="true"/>
    <Content_x0020_Type xmlns="71f83f84-541d-4ef5-86f4-419636e70258" xsi:nil="true"/>
    <_ip_UnifiedCompliancePolicyUIAction xmlns="http://schemas.microsoft.com/sharepoint/v3" xsi:nil="true"/>
    <IngestedbyMSOC xmlns="71f83f84-541d-4ef5-86f4-419636e70258">NO</IngestedbyMSOC>
    <_ip_UnifiedCompliancePolicyProperties xmlns="http://schemas.microsoft.com/sharepoint/v3" xsi:nil="true"/>
    <Embargo_x0020_to_x0020_a_x0020_Media_x0020_Partner_x003f_ xmlns="71f83f84-541d-4ef5-86f4-419636e70258" xsi:nil="true"/>
    <lcf76f155ced4ddcb4097134ff3c332f xmlns="71f83f84-541d-4ef5-86f4-419636e70258">
      <Terms xmlns="http://schemas.microsoft.com/office/infopath/2007/PartnerControls"/>
    </lcf76f155ced4ddcb4097134ff3c332f>
    <TaxCatchAll xmlns="58c9ae31-257d-4a33-a602-6158ce9d869f" xsi:nil="true"/>
    <InformationpublishedontheFCI xmlns="71f83f84-541d-4ef5-86f4-419636e70258">NOT YET</InformationpublishedontheFCI>
    <PublishedbyContentManager xmlns="71f83f84-541d-4ef5-86f4-419636e70258" xsi:nil="true"/>
    <VideoorAudio xmlns="71f83f84-541d-4ef5-86f4-419636e70258" xsi:nil="true"/>
    <Alerts xmlns="71f83f84-541d-4ef5-86f4-419636e70258" xsi:nil="true"/>
    <Content_x0020_Description xmlns="71f83f84-541d-4ef5-86f4-419636e70258" xsi:nil="true"/>
    <Please_x0020_fill_x0020_in_x0020_the_x0020_date xmlns="71f83f84-541d-4ef5-86f4-419636e70258" xsi:nil="true"/>
    <FileName_x0028_aspernamingconvention_x0029_ xmlns="71f83f84-541d-4ef5-86f4-419636e70258" xsi:nil="true"/>
    <TranslatedLang xmlns="71f83f84-541d-4ef5-86f4-419636e702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29FC7AC2B442842EB89F7AAFA883" ma:contentTypeVersion="29" ma:contentTypeDescription="Create a new document." ma:contentTypeScope="" ma:versionID="6560507dda76c1cfba5f5e22546c0470">
  <xsd:schema xmlns:xsd="http://www.w3.org/2001/XMLSchema" xmlns:xs="http://www.w3.org/2001/XMLSchema" xmlns:p="http://schemas.microsoft.com/office/2006/metadata/properties" xmlns:ns1="http://schemas.microsoft.com/sharepoint/v3" xmlns:ns2="71f83f84-541d-4ef5-86f4-419636e70258" xmlns:ns3="58c9ae31-257d-4a33-a602-6158ce9d869f" targetNamespace="http://schemas.microsoft.com/office/2006/metadata/properties" ma:root="true" ma:fieldsID="6d459fa8477ad7d66e11ff88d7fce51d" ns1:_="" ns2:_="" ns3:_="">
    <xsd:import namespace="http://schemas.microsoft.com/sharepoint/v3"/>
    <xsd:import namespace="71f83f84-541d-4ef5-86f4-419636e70258"/>
    <xsd:import namespace="58c9ae31-257d-4a33-a602-6158ce9d8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Please_x0020_fill_x0020_in_x0020_the_x0020_date" minOccurs="0"/>
                <xsd:element ref="ns2:Media_x0020_Partner_x0020_Company_x0020_Name" minOccurs="0"/>
                <xsd:element ref="ns2:Content_x0020_Type" minOccurs="0"/>
                <xsd:element ref="ns2:Content_x0020_Description" minOccurs="0"/>
                <xsd:element ref="ns2:Embargo_x0020_to_x0020_a_x0020_Media_x0020_Partner_x003f_" minOccurs="0"/>
                <xsd:element ref="ns2:Comment" minOccurs="0"/>
                <xsd:element ref="ns2:VideoorAudio" minOccurs="0"/>
                <xsd:element ref="ns2:FileName_x0028_aspernamingconvention_x0029_" minOccurs="0"/>
                <xsd:element ref="ns2:IngestedbyMSOC" minOccurs="0"/>
                <xsd:element ref="ns2:PublishedbyContentManager" minOccurs="0"/>
                <xsd:element ref="ns2:InformationpublishedontheFCI" minOccurs="0"/>
                <xsd:element ref="ns2:Alert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83f84-541d-4ef5-86f4-419636e70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3e71f8-c9bb-4c83-8bbd-458b7caa79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fill_x0020_in_x0020_the_x0020_date" ma:index="23" nillable="true" ma:displayName="Please fill in the date" ma:format="DateOnly" ma:internalName="Please_x0020_fill_x0020_in_x0020_the_x0020_date">
      <xsd:simpleType>
        <xsd:restriction base="dms:DateTime"/>
      </xsd:simpleType>
    </xsd:element>
    <xsd:element name="Media_x0020_Partner_x0020_Company_x0020_Name" ma:index="24" nillable="true" ma:displayName="Media Partner Company Name" ma:internalName="Media_x0020_Partner_x0020_Company_x0020_Name">
      <xsd:simpleType>
        <xsd:restriction base="dms:Text">
          <xsd:maxLength value="255"/>
        </xsd:restriction>
      </xsd:simpleType>
    </xsd:element>
    <xsd:element name="Content_x0020_Type" ma:index="25" nillable="true" ma:displayName="Content Type" ma:format="Dropdown" ma:internalName="Content_x0020_Type">
      <xsd:simpleType>
        <xsd:restriction base="dms:Choice">
          <xsd:enumeration value="Match Commentary"/>
          <xsd:enumeration value="Fan Footage"/>
          <xsd:enumeration value="Interview"/>
          <xsd:enumeration value="Training"/>
          <xsd:enumeration value="Other"/>
        </xsd:restriction>
      </xsd:simpleType>
    </xsd:element>
    <xsd:element name="Content_x0020_Description" ma:index="26" nillable="true" ma:displayName="Content Description" ma:internalName="Content_x0020_Description">
      <xsd:simpleType>
        <xsd:restriction base="dms:Note">
          <xsd:maxLength value="255"/>
        </xsd:restriction>
      </xsd:simpleType>
    </xsd:element>
    <xsd:element name="Embargo_x0020_to_x0020_a_x0020_Media_x0020_Partner_x003f_" ma:index="27" nillable="true" ma:displayName="Embargo to a Media Partner?" ma:internalName="Embargo_x0020_to_x0020_a_x0020_Media_x0020_Partner_x003f_">
      <xsd:simpleType>
        <xsd:restriction base="dms:Note">
          <xsd:maxLength value="255"/>
        </xsd:restriction>
      </xsd:simpleType>
    </xsd:element>
    <xsd:element name="Comment" ma:index="28" nillable="true" ma:displayName="Comment" ma:internalName="Comment">
      <xsd:simpleType>
        <xsd:restriction base="dms:Note">
          <xsd:maxLength value="255"/>
        </xsd:restriction>
      </xsd:simpleType>
    </xsd:element>
    <xsd:element name="VideoorAudio" ma:index="29" nillable="true" ma:displayName="Video or Audio" ma:format="Dropdown" ma:internalName="VideoorAudio">
      <xsd:simpleType>
        <xsd:restriction base="dms:Text">
          <xsd:maxLength value="255"/>
        </xsd:restriction>
      </xsd:simpleType>
    </xsd:element>
    <xsd:element name="FileName_x0028_aspernamingconvention_x0029_" ma:index="30" nillable="true" ma:displayName="File Name (as per naming convention)" ma:format="Dropdown" ma:internalName="FileName_x0028_aspernamingconvention_x0029_">
      <xsd:simpleType>
        <xsd:restriction base="dms:Text">
          <xsd:maxLength value="255"/>
        </xsd:restriction>
      </xsd:simpleType>
    </xsd:element>
    <xsd:element name="IngestedbyMSOC" ma:index="31" nillable="true" ma:displayName="Ingested by MSOC" ma:default="NO" ma:format="Dropdown" ma:internalName="IngestedbyMSOC">
      <xsd:simpleType>
        <xsd:restriction base="dms:Choice">
          <xsd:enumeration value="YES"/>
          <xsd:enumeration value="NO"/>
        </xsd:restriction>
      </xsd:simpleType>
    </xsd:element>
    <xsd:element name="PublishedbyContentManager" ma:index="32" nillable="true" ma:displayName="Published by Content Manager" ma:format="Dropdown" ma:internalName="PublishedbyContentManager">
      <xsd:simpleType>
        <xsd:restriction base="dms:Choice">
          <xsd:enumeration value="YES"/>
          <xsd:enumeration value="NOT YET"/>
        </xsd:restriction>
      </xsd:simpleType>
    </xsd:element>
    <xsd:element name="InformationpublishedontheFCI" ma:index="33" nillable="true" ma:displayName="Information published on the FCI" ma:default="NOT YET" ma:format="Dropdown" ma:internalName="InformationpublishedontheFCI">
      <xsd:simpleType>
        <xsd:restriction base="dms:Choice">
          <xsd:enumeration value="YES"/>
          <xsd:enumeration value="NOT YET"/>
        </xsd:restriction>
      </xsd:simpleType>
    </xsd:element>
    <xsd:element name="Alerts" ma:index="34" nillable="true" ma:displayName="Alerts" ma:format="Dropdown" ma:internalName="Alerts">
      <xsd:simpleType>
        <xsd:restriction base="dms:Text">
          <xsd:maxLength value="255"/>
        </xsd:restriction>
      </xsd:simpleType>
    </xsd:element>
    <xsd:element name="TranslatedLang" ma:index="35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9ae31-257d-4a33-a602-6158ce9d86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007aed-f039-46a4-bfa6-f24a56eca2bb}" ma:internalName="TaxCatchAll" ma:showField="CatchAllData" ma:web="58c9ae31-257d-4a33-a602-6158ce9d8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6C766FC-C9BE-4772-A1C0-E4E2F71E43CE}">
  <ds:schemaRefs>
    <ds:schemaRef ds:uri="http://schemas.microsoft.com/office/2006/metadata/properties"/>
    <ds:schemaRef ds:uri="http://schemas.microsoft.com/office/infopath/2007/PartnerControls"/>
    <ds:schemaRef ds:uri="71f83f84-541d-4ef5-86f4-419636e70258"/>
    <ds:schemaRef ds:uri="http://schemas.microsoft.com/sharepoint/v3"/>
    <ds:schemaRef ds:uri="58c9ae31-257d-4a33-a602-6158ce9d869f"/>
  </ds:schemaRefs>
</ds:datastoreItem>
</file>

<file path=customXml/itemProps2.xml><?xml version="1.0" encoding="utf-8"?>
<ds:datastoreItem xmlns:ds="http://schemas.openxmlformats.org/officeDocument/2006/customXml" ds:itemID="{D4FEDD24-4884-47C1-8E17-8683BD91AB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D80703-1A1D-44A6-ADD5-B75153289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f83f84-541d-4ef5-86f4-419636e70258"/>
    <ds:schemaRef ds:uri="58c9ae31-257d-4a33-a602-6158ce9d8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C24A95C-DB85-ED43-9B38-685BDF5DD5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Match Schedule</vt:lpstr>
      <vt:lpstr>General A</vt:lpstr>
      <vt:lpstr>General B</vt:lpstr>
      <vt:lpstr>General C</vt:lpstr>
      <vt:lpstr>General D</vt:lpstr>
      <vt:lpstr>Digital Content Live 1</vt:lpstr>
      <vt:lpstr>Digital Content Live 2</vt:lpstr>
      <vt:lpstr>Digital Content Live 3</vt:lpstr>
      <vt:lpstr>Digital Content Live 4</vt:lpstr>
      <vt:lpstr>Digital Content Live 5</vt:lpstr>
      <vt:lpstr>DCL Antipiracy A</vt:lpstr>
      <vt:lpstr>DCL Antipiracy B</vt:lpstr>
      <vt:lpstr>DCL Antipiracy C</vt:lpstr>
      <vt:lpstr>DCL Antipiracy D</vt:lpstr>
      <vt:lpstr>FCO A</vt:lpstr>
      <vt:lpstr>FCO B</vt:lpstr>
      <vt:lpstr>FCO C</vt:lpstr>
      <vt:lpstr>FCO D</vt:lpstr>
      <vt:lpstr>Radio International Sound A</vt:lpstr>
      <vt:lpstr>Radio International Sound B</vt:lpstr>
      <vt:lpstr>Radio International Sound C</vt:lpstr>
      <vt:lpstr>Radio International Sound D</vt:lpstr>
      <vt:lpstr>Automated Content Creation A</vt:lpstr>
      <vt:lpstr>Automated Content Creation B</vt:lpstr>
      <vt:lpstr>Automated Content Creation C</vt:lpstr>
      <vt:lpstr>Automated Content Creation D</vt:lpstr>
      <vt:lpstr>Datatainment A</vt:lpstr>
      <vt:lpstr>Datatainment B</vt:lpstr>
      <vt:lpstr>Datatainment C</vt:lpstr>
      <vt:lpstr>Datatainment D</vt:lpstr>
      <vt:lpstr>Closed Caption A</vt:lpstr>
      <vt:lpstr>Closed Caption B</vt:lpstr>
      <vt:lpstr>Closed Caption C</vt:lpstr>
      <vt:lpstr>Closed Caption D</vt:lpstr>
      <vt:lpstr>MatchBuddy A</vt:lpstr>
      <vt:lpstr>MatchBuddy B</vt:lpstr>
      <vt:lpstr>MatchBuddy C</vt:lpstr>
      <vt:lpstr>MatchBuddy D</vt:lpstr>
      <vt:lpstr>MD-1 A</vt:lpstr>
      <vt:lpstr>MD-1 B</vt:lpstr>
      <vt:lpstr>MD-1 C</vt:lpstr>
      <vt:lpstr>MD-1 D</vt:lpstr>
      <vt:lpstr>MD-1 E</vt:lpstr>
      <vt:lpstr>MD-1 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Eren</dc:creator>
  <cp:keywords/>
  <dc:description/>
  <cp:lastModifiedBy>Office</cp:lastModifiedBy>
  <cp:revision/>
  <dcterms:created xsi:type="dcterms:W3CDTF">2026-06-01T00:44:59Z</dcterms:created>
  <dcterms:modified xsi:type="dcterms:W3CDTF">2026-06-13T12:33:11Z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0x010100E23329FC7AC2B442842EB89F7AAFA883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Order">
    <vt:r8>8100</vt:r8>
  </property>
  <property fmtid="{D5CDD505-2E9C-101B-9397-08002B2CF9AE}" pid="10" name="_activity">
    <vt:lpwstr>{"FileActivityType":"9","FileActivityTimeStamp":"2026-06-04T20:56:34.647Z","FileActivityUsersOnPage":[{"DisplayName":"Stream Supr IBC (EREN, Denis)","Id":"streamsupr01@hbs.tv"}],"FileActivityNavigationId":null}</vt:lpwstr>
  </property>
</Properties>
</file>